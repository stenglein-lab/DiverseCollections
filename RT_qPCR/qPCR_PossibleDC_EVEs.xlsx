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RT_qPCR/"/>
    </mc:Choice>
  </mc:AlternateContent>
  <xr:revisionPtr revIDLastSave="0" documentId="13_ncr:1_{EA793FD5-5269-E741-92EC-038199A411B0}" xr6:coauthVersionLast="47" xr6:coauthVersionMax="47" xr10:uidLastSave="{00000000-0000-0000-0000-000000000000}"/>
  <bookViews>
    <workbookView xWindow="1560" yWindow="760" windowWidth="28680" windowHeight="17160" activeTab="1" xr2:uid="{B8C42D12-2C26-4FF1-BD45-0920706209D2}"/>
  </bookViews>
  <sheets>
    <sheet name="qPCR" sheetId="4" r:id="rId1"/>
    <sheet name="EVE Specific PCR" sheetId="6" r:id="rId2"/>
    <sheet name="Platemap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6" l="1"/>
  <c r="I24" i="6"/>
  <c r="I23" i="6"/>
  <c r="I22" i="6"/>
  <c r="I21" i="6"/>
  <c r="I26" i="6" s="1"/>
  <c r="D23" i="6"/>
  <c r="D21" i="6"/>
  <c r="D24" i="6"/>
  <c r="C26" i="6"/>
  <c r="D22" i="6"/>
  <c r="K27" i="4"/>
  <c r="L25" i="4"/>
  <c r="L24" i="4"/>
  <c r="L23" i="4"/>
  <c r="H25" i="4"/>
  <c r="H24" i="4"/>
  <c r="H23" i="4"/>
  <c r="D25" i="4"/>
  <c r="D24" i="4"/>
  <c r="D23" i="4"/>
  <c r="G27" i="4"/>
  <c r="C27" i="4"/>
  <c r="D26" i="6" l="1"/>
  <c r="L27" i="4"/>
  <c r="H27" i="4"/>
  <c r="D27" i="4"/>
</calcChain>
</file>

<file path=xl/sharedStrings.xml><?xml version="1.0" encoding="utf-8"?>
<sst xmlns="http://schemas.openxmlformats.org/spreadsheetml/2006/main" count="1461" uniqueCount="612">
  <si>
    <t>1x</t>
  </si>
  <si>
    <t># rxns. +10%</t>
  </si>
  <si>
    <t>Water</t>
  </si>
  <si>
    <t>Forward/Reverse primer mix (10uM each)</t>
  </si>
  <si>
    <t>Template DNA</t>
  </si>
  <si>
    <t>*** Can change amount/concentration of template DNA added if needed.</t>
  </si>
  <si>
    <t>**If primers arent mixed use 0.5uL per 1x reaction for each primer. (ex. for 26 samples add 13uL of each primer)</t>
  </si>
  <si>
    <t>T/cycler program</t>
  </si>
  <si>
    <t>Initial Denaturation</t>
  </si>
  <si>
    <t>95C</t>
  </si>
  <si>
    <t>Denaturation</t>
  </si>
  <si>
    <t>|</t>
  </si>
  <si>
    <t>Extenstion</t>
  </si>
  <si>
    <t>60C</t>
  </si>
  <si>
    <t>| 40x</t>
  </si>
  <si>
    <t>Make the followning mastermix in a 1.5ml tube</t>
  </si>
  <si>
    <t>///</t>
  </si>
  <si>
    <t>Set up the lightcycler with the following conditions</t>
  </si>
  <si>
    <t>30 sec</t>
  </si>
  <si>
    <t>Add 2.5ul of sample to the appropriate wells</t>
  </si>
  <si>
    <t>1 min</t>
  </si>
  <si>
    <t>15 sec</t>
  </si>
  <si>
    <t>melt curve</t>
  </si>
  <si>
    <t>Platemap</t>
  </si>
  <si>
    <t>A</t>
  </si>
  <si>
    <t>B</t>
  </si>
  <si>
    <t>C</t>
  </si>
  <si>
    <t>D</t>
  </si>
  <si>
    <t>E</t>
  </si>
  <si>
    <t>F</t>
  </si>
  <si>
    <t>G</t>
  </si>
  <si>
    <t>H</t>
  </si>
  <si>
    <t>Dispense 7.5ul of master mix into the appropriate wells in a qPCR plate</t>
  </si>
  <si>
    <t>Luna universal qPCR Master Mix</t>
  </si>
  <si>
    <t>Luna Universal  qPCR Protocol</t>
  </si>
  <si>
    <t>RpL32</t>
  </si>
  <si>
    <t>Penn_F_1</t>
  </si>
  <si>
    <t>Penn_F_2</t>
  </si>
  <si>
    <t>Penn_F_3</t>
  </si>
  <si>
    <t>Penn_F_4</t>
  </si>
  <si>
    <t>Penn_F_5</t>
  </si>
  <si>
    <t>Penn_F_6</t>
  </si>
  <si>
    <t>Penn_F_7</t>
  </si>
  <si>
    <t>Penn_F_8</t>
  </si>
  <si>
    <t>Penn_F_9</t>
  </si>
  <si>
    <t>Penn_F_10</t>
  </si>
  <si>
    <t>Penn_F_11</t>
  </si>
  <si>
    <t>Penn_F_12</t>
  </si>
  <si>
    <t>Penn_M_1</t>
  </si>
  <si>
    <t>Penn_M_2</t>
  </si>
  <si>
    <t>Penn_M_3</t>
  </si>
  <si>
    <t>Penn_M_4</t>
  </si>
  <si>
    <t>Penn_M_5</t>
  </si>
  <si>
    <t>Penn_M_6</t>
  </si>
  <si>
    <t>Penn_M_7</t>
  </si>
  <si>
    <t>Penn_M_8</t>
  </si>
  <si>
    <t>Penn_M_9</t>
  </si>
  <si>
    <t>Penn_M_10</t>
  </si>
  <si>
    <t>Penn_M_11</t>
  </si>
  <si>
    <t>Penn_M_12</t>
  </si>
  <si>
    <t>Penn_M_13</t>
  </si>
  <si>
    <t>Penn_M_14</t>
  </si>
  <si>
    <t>Penn_M_15</t>
  </si>
  <si>
    <t>Penn_M_16</t>
  </si>
  <si>
    <t>Penn_M_17</t>
  </si>
  <si>
    <t>Penn_M_18</t>
  </si>
  <si>
    <t>Penn_M_19</t>
  </si>
  <si>
    <t>Penn_M_20</t>
  </si>
  <si>
    <t>Ext_Ctrl</t>
  </si>
  <si>
    <t>Galbut (1600/1601)</t>
  </si>
  <si>
    <t>Galbut virus (1600/1601)</t>
  </si>
  <si>
    <r>
      <rPr>
        <b/>
        <sz val="16"/>
        <color theme="1"/>
        <rFont val="Calibri"/>
        <family val="2"/>
        <scheme val="minor"/>
      </rPr>
      <t>Purpose:</t>
    </r>
    <r>
      <rPr>
        <sz val="16"/>
        <color theme="1"/>
        <rFont val="Calibri"/>
        <family val="2"/>
        <scheme val="minor"/>
      </rPr>
      <t xml:space="preserve"> This protocol will be used to investigate whether the 1600/1601 positive summer 2023 samples contain the EVE. I will be skipping the reverse transcription step. Because the extraction method we use isolates RNA and DNA I will take the nucleic acid and put it sraight into our qPCR using the 1600/1601, EVE primers and RpL32 primers. The RpL32 should be negative because it spans an intron and the galbut and eve primers should be positive.</t>
    </r>
  </si>
  <si>
    <t>PA, ME, OH</t>
  </si>
  <si>
    <t>A6</t>
  </si>
  <si>
    <t>E9</t>
  </si>
  <si>
    <t>Elm P1</t>
  </si>
  <si>
    <t>B1</t>
  </si>
  <si>
    <t>B8</t>
  </si>
  <si>
    <t>C8</t>
  </si>
  <si>
    <t>D4</t>
  </si>
  <si>
    <t>D10</t>
  </si>
  <si>
    <t>D12</t>
  </si>
  <si>
    <t>E1G1</t>
  </si>
  <si>
    <t>G2</t>
  </si>
  <si>
    <t>H2</t>
  </si>
  <si>
    <t>H3</t>
  </si>
  <si>
    <t>H9</t>
  </si>
  <si>
    <t>Linden P1</t>
  </si>
  <si>
    <t>A8</t>
  </si>
  <si>
    <t>B6</t>
  </si>
  <si>
    <t>E3</t>
  </si>
  <si>
    <t>Linden P2</t>
  </si>
  <si>
    <t>C10</t>
  </si>
  <si>
    <t>E4</t>
  </si>
  <si>
    <t>F3</t>
  </si>
  <si>
    <t>F5</t>
  </si>
  <si>
    <t>F7</t>
  </si>
  <si>
    <t>F10</t>
  </si>
  <si>
    <t>TG Wabash</t>
  </si>
  <si>
    <t>B11</t>
  </si>
  <si>
    <t>D1</t>
  </si>
  <si>
    <t>F4</t>
  </si>
  <si>
    <t>James, Adobe, Myrtle</t>
  </si>
  <si>
    <t>E1</t>
  </si>
  <si>
    <t>E5</t>
  </si>
  <si>
    <t>E7</t>
  </si>
  <si>
    <t>F6</t>
  </si>
  <si>
    <t>Peach bugs</t>
  </si>
  <si>
    <t>A9</t>
  </si>
  <si>
    <t>B4</t>
  </si>
  <si>
    <t>H1</t>
  </si>
  <si>
    <t>Wabash/Linden</t>
  </si>
  <si>
    <t>Wabash- wild 2 Aug. col.</t>
  </si>
  <si>
    <t>C1</t>
  </si>
  <si>
    <t>F8</t>
  </si>
  <si>
    <t>2023_11_06/05 Wabash</t>
  </si>
  <si>
    <t>C3</t>
  </si>
  <si>
    <t>D9</t>
  </si>
  <si>
    <t>D6</t>
  </si>
  <si>
    <t>H7</t>
  </si>
  <si>
    <t>EVE</t>
  </si>
  <si>
    <t>Rpl32</t>
  </si>
  <si>
    <t>EVE(191---/1916)</t>
  </si>
  <si>
    <t>qPCR_neg</t>
  </si>
  <si>
    <t>ME_F_1</t>
  </si>
  <si>
    <t>ME_F_2</t>
  </si>
  <si>
    <t>ME_F_3</t>
  </si>
  <si>
    <t>ME_F_4</t>
  </si>
  <si>
    <t>ME_F_5</t>
  </si>
  <si>
    <t>ME_F_6</t>
  </si>
  <si>
    <t>ME_F_7</t>
  </si>
  <si>
    <t>ME_F_8</t>
  </si>
  <si>
    <t>ME_F_9</t>
  </si>
  <si>
    <t>ME_F_10</t>
  </si>
  <si>
    <t>ME_F_11</t>
  </si>
  <si>
    <t>ME_F_12</t>
  </si>
  <si>
    <t>ME_M_1</t>
  </si>
  <si>
    <t>ME_M_2</t>
  </si>
  <si>
    <t>ME_M_3</t>
  </si>
  <si>
    <t>ME_M_4</t>
  </si>
  <si>
    <t>ME_M_5</t>
  </si>
  <si>
    <t>ME_M_6</t>
  </si>
  <si>
    <t>ME_M_7</t>
  </si>
  <si>
    <t>ME_M_8</t>
  </si>
  <si>
    <t>ME_M_9</t>
  </si>
  <si>
    <t>ME_M_10</t>
  </si>
  <si>
    <t>ME_M_11</t>
  </si>
  <si>
    <t>ME_M_12</t>
  </si>
  <si>
    <t>ME_M_13</t>
  </si>
  <si>
    <t>ME_M_14</t>
  </si>
  <si>
    <t>ME_M_15</t>
  </si>
  <si>
    <t>ME_M_16</t>
  </si>
  <si>
    <t>ME_M_17</t>
  </si>
  <si>
    <t>ME_M_18</t>
  </si>
  <si>
    <t>ME_M_19</t>
  </si>
  <si>
    <t>ME_M_20</t>
  </si>
  <si>
    <t>OH_F_1</t>
  </si>
  <si>
    <t>OH_F_2</t>
  </si>
  <si>
    <t>OH_F_3</t>
  </si>
  <si>
    <t>OH_F_4</t>
  </si>
  <si>
    <t>OH_F_5</t>
  </si>
  <si>
    <t>OH_M_1</t>
  </si>
  <si>
    <t>OH_M_2</t>
  </si>
  <si>
    <t>OH_M_3</t>
  </si>
  <si>
    <t>OH_M_4</t>
  </si>
  <si>
    <t>OH_M_5</t>
  </si>
  <si>
    <t>OH_M_6</t>
  </si>
  <si>
    <t>OH_M_7</t>
  </si>
  <si>
    <t>OH_M_8</t>
  </si>
  <si>
    <t>OH_M_9</t>
  </si>
  <si>
    <t>OH_M_10</t>
  </si>
  <si>
    <t>OH_M_11</t>
  </si>
  <si>
    <t>OH_M_12</t>
  </si>
  <si>
    <t>500_F_1</t>
  </si>
  <si>
    <t>500_F_2</t>
  </si>
  <si>
    <t>500_F_3</t>
  </si>
  <si>
    <t>500_F_4</t>
  </si>
  <si>
    <t>500_F_5</t>
  </si>
  <si>
    <t>500_F_6</t>
  </si>
  <si>
    <t>500_F_7</t>
  </si>
  <si>
    <t>500_F_8</t>
  </si>
  <si>
    <t>500_F_9</t>
  </si>
  <si>
    <t>500_F_10</t>
  </si>
  <si>
    <t>500_F_11</t>
  </si>
  <si>
    <t>500_F_12</t>
  </si>
  <si>
    <t>500_M_1</t>
  </si>
  <si>
    <t>500_M_2</t>
  </si>
  <si>
    <t>500_M_3</t>
  </si>
  <si>
    <t>500_M_4</t>
  </si>
  <si>
    <t>500_M_5</t>
  </si>
  <si>
    <t>500_M_6</t>
  </si>
  <si>
    <t>500_M_7</t>
  </si>
  <si>
    <t>500_M_8</t>
  </si>
  <si>
    <t>500_M_9</t>
  </si>
  <si>
    <t>500_M_10</t>
  </si>
  <si>
    <t>500_M_11</t>
  </si>
  <si>
    <t>500_M_12</t>
  </si>
  <si>
    <t>500_F_13</t>
  </si>
  <si>
    <t>500_F_14</t>
  </si>
  <si>
    <t>500_F_15</t>
  </si>
  <si>
    <t>500_F_16</t>
  </si>
  <si>
    <t>500_F_17</t>
  </si>
  <si>
    <t>500_F_18</t>
  </si>
  <si>
    <t>500_F_19</t>
  </si>
  <si>
    <t>500_F_20</t>
  </si>
  <si>
    <t>500_F_21</t>
  </si>
  <si>
    <t>500_F_22</t>
  </si>
  <si>
    <t>500_F_23</t>
  </si>
  <si>
    <t>500_F_24</t>
  </si>
  <si>
    <t>500_M_13</t>
  </si>
  <si>
    <t>500_M_14</t>
  </si>
  <si>
    <t>500_M_15</t>
  </si>
  <si>
    <t>500_M_16</t>
  </si>
  <si>
    <t>500_M_17</t>
  </si>
  <si>
    <t>500_M_18</t>
  </si>
  <si>
    <t>500_M_19</t>
  </si>
  <si>
    <t>500_M_20</t>
  </si>
  <si>
    <t>500_M_21</t>
  </si>
  <si>
    <t>500_M_22</t>
  </si>
  <si>
    <t>500_M_23</t>
  </si>
  <si>
    <t>500_M_24</t>
  </si>
  <si>
    <t>500_F_25</t>
  </si>
  <si>
    <t>500_F_26</t>
  </si>
  <si>
    <t>500_F_27</t>
  </si>
  <si>
    <t>500_F_28</t>
  </si>
  <si>
    <t>500_F_29</t>
  </si>
  <si>
    <t>500_F_30</t>
  </si>
  <si>
    <t>500_F_31</t>
  </si>
  <si>
    <t>500_F_32</t>
  </si>
  <si>
    <t>500_F_33</t>
  </si>
  <si>
    <t>500_F_34</t>
  </si>
  <si>
    <t>500_F_35</t>
  </si>
  <si>
    <t>500_F_36</t>
  </si>
  <si>
    <t>500_M_25</t>
  </si>
  <si>
    <t>500_M_26</t>
  </si>
  <si>
    <t>500_M_27</t>
  </si>
  <si>
    <t>500_M_28</t>
  </si>
  <si>
    <t>500_M_29</t>
  </si>
  <si>
    <t>500_M_30</t>
  </si>
  <si>
    <t>500_M_31</t>
  </si>
  <si>
    <t>500_M_32</t>
  </si>
  <si>
    <t>500_M_33</t>
  </si>
  <si>
    <t>500_M_34</t>
  </si>
  <si>
    <t>500_M_35</t>
  </si>
  <si>
    <t>500_M_36</t>
  </si>
  <si>
    <t>500_F_37</t>
  </si>
  <si>
    <t>500_F_38</t>
  </si>
  <si>
    <t>500_F_39</t>
  </si>
  <si>
    <t>500_F_40</t>
  </si>
  <si>
    <t>500_F_41</t>
  </si>
  <si>
    <t>500_F_42</t>
  </si>
  <si>
    <t>500_F_43</t>
  </si>
  <si>
    <t>500_F_44</t>
  </si>
  <si>
    <t>500_F_45</t>
  </si>
  <si>
    <t>500_M_37</t>
  </si>
  <si>
    <t>500_M_38</t>
  </si>
  <si>
    <t>500_M_39</t>
  </si>
  <si>
    <t>500_M_40</t>
  </si>
  <si>
    <t>500_M_41</t>
  </si>
  <si>
    <t>500_M_42</t>
  </si>
  <si>
    <t>500_M_43</t>
  </si>
  <si>
    <t>500_M_44</t>
  </si>
  <si>
    <t>500_M_45</t>
  </si>
  <si>
    <t>500_M_46</t>
  </si>
  <si>
    <t>500_M_47</t>
  </si>
  <si>
    <t>500_M_48</t>
  </si>
  <si>
    <t>1020_F_1</t>
  </si>
  <si>
    <t>1020_F_2</t>
  </si>
  <si>
    <t>1020_M_1</t>
  </si>
  <si>
    <t>1020_M_2</t>
  </si>
  <si>
    <t>1020_F_3</t>
  </si>
  <si>
    <t>1020_F_4</t>
  </si>
  <si>
    <t>1020_M_3</t>
  </si>
  <si>
    <t>1020_M_4</t>
  </si>
  <si>
    <t>1020_F_5</t>
  </si>
  <si>
    <t>1020_M_5</t>
  </si>
  <si>
    <t>1020_F_6</t>
  </si>
  <si>
    <t>1020_M_6</t>
  </si>
  <si>
    <t>1020_F_7</t>
  </si>
  <si>
    <t>1020_F_8</t>
  </si>
  <si>
    <t>1020_F_9</t>
  </si>
  <si>
    <t>1020_F_10</t>
  </si>
  <si>
    <t>1020_F_11</t>
  </si>
  <si>
    <t>1020_F_12</t>
  </si>
  <si>
    <t>1020_F_13</t>
  </si>
  <si>
    <t>1020_F_14</t>
  </si>
  <si>
    <t>1020_F_15</t>
  </si>
  <si>
    <t>1020_F_16</t>
  </si>
  <si>
    <t>1020_F_17</t>
  </si>
  <si>
    <t>1020_F_18</t>
  </si>
  <si>
    <t>1020_F_19</t>
  </si>
  <si>
    <t>1020_F_20</t>
  </si>
  <si>
    <t>1020_F_21</t>
  </si>
  <si>
    <t>1020_F_22</t>
  </si>
  <si>
    <t>1020_F_23</t>
  </si>
  <si>
    <t>1020_F_24</t>
  </si>
  <si>
    <t>1020_M_7</t>
  </si>
  <si>
    <t>1020_M_8</t>
  </si>
  <si>
    <t>1020_M_9</t>
  </si>
  <si>
    <t>1020_M_10</t>
  </si>
  <si>
    <t>1020_M_11</t>
  </si>
  <si>
    <t>1020_M_12</t>
  </si>
  <si>
    <t>1020_M_13</t>
  </si>
  <si>
    <t>1020_M_14</t>
  </si>
  <si>
    <t>1020_F_25</t>
  </si>
  <si>
    <t>1020_F_26</t>
  </si>
  <si>
    <t>1020_F_27</t>
  </si>
  <si>
    <t>1020_F_28</t>
  </si>
  <si>
    <t>1020_F_29</t>
  </si>
  <si>
    <t>1020_F_30</t>
  </si>
  <si>
    <t>1020_F_31</t>
  </si>
  <si>
    <t>1020_F_32</t>
  </si>
  <si>
    <t>1020_F_33</t>
  </si>
  <si>
    <t>1020_F_34</t>
  </si>
  <si>
    <t>1020_F_35</t>
  </si>
  <si>
    <t>1020_F_36</t>
  </si>
  <si>
    <t>1020_F_37</t>
  </si>
  <si>
    <t>1020_F_38</t>
  </si>
  <si>
    <t>1020_F_39</t>
  </si>
  <si>
    <t>1020_F_40</t>
  </si>
  <si>
    <t>1020_F_41</t>
  </si>
  <si>
    <t>1020_F_42</t>
  </si>
  <si>
    <t>1020_F_43</t>
  </si>
  <si>
    <t>1020_F_44</t>
  </si>
  <si>
    <t>1020_F_45</t>
  </si>
  <si>
    <t>1020_F_46</t>
  </si>
  <si>
    <t>1020_F_47</t>
  </si>
  <si>
    <t>1020_F_48</t>
  </si>
  <si>
    <t>1020_F_49</t>
  </si>
  <si>
    <t>1020_M_15</t>
  </si>
  <si>
    <t>1020_M_16</t>
  </si>
  <si>
    <t>1020_M_17</t>
  </si>
  <si>
    <t>1020_M_18</t>
  </si>
  <si>
    <t>1020_M_19</t>
  </si>
  <si>
    <t>1020_M_20</t>
  </si>
  <si>
    <t>1020_M_21</t>
  </si>
  <si>
    <t>1020_M_22</t>
  </si>
  <si>
    <t>1020_M_23</t>
  </si>
  <si>
    <t>1020_M_24</t>
  </si>
  <si>
    <t>1020_M_25</t>
  </si>
  <si>
    <t>1020_M_26</t>
  </si>
  <si>
    <t>1020_M_27</t>
  </si>
  <si>
    <t>1020_F_50</t>
  </si>
  <si>
    <t>1020_F_51</t>
  </si>
  <si>
    <t>1020_F_52</t>
  </si>
  <si>
    <t>1020_F_53</t>
  </si>
  <si>
    <t>1020_F_54</t>
  </si>
  <si>
    <t>1020_F_55</t>
  </si>
  <si>
    <t>1020_F_56</t>
  </si>
  <si>
    <t>1020_M_28</t>
  </si>
  <si>
    <t>1020_M_29</t>
  </si>
  <si>
    <t>1020_M_30</t>
  </si>
  <si>
    <t>Ext_ctrl</t>
  </si>
  <si>
    <t>1020 Wabash Male 8.18</t>
  </si>
  <si>
    <t>Extraction +</t>
  </si>
  <si>
    <t>Extraction -</t>
  </si>
  <si>
    <t>1020 Wabash Female 8.18</t>
  </si>
  <si>
    <t>500 Linden Female</t>
  </si>
  <si>
    <t>500 Linden Male</t>
  </si>
  <si>
    <t>1428_F_1</t>
  </si>
  <si>
    <t>1428_F_2</t>
  </si>
  <si>
    <t>1428_F_3</t>
  </si>
  <si>
    <t>1428_F_4</t>
  </si>
  <si>
    <t>1428_F_5</t>
  </si>
  <si>
    <t>1428_F_6</t>
  </si>
  <si>
    <t>1428_F_7</t>
  </si>
  <si>
    <t>1428_M_1</t>
  </si>
  <si>
    <t>1428_M_2</t>
  </si>
  <si>
    <t>1428_M_3</t>
  </si>
  <si>
    <t>1428_M_4</t>
  </si>
  <si>
    <t>1428_M_5</t>
  </si>
  <si>
    <t>1428_M_6</t>
  </si>
  <si>
    <t>1428_M_7</t>
  </si>
  <si>
    <t>1428_M_8</t>
  </si>
  <si>
    <t>1428_M_9</t>
  </si>
  <si>
    <t>1428_M_10</t>
  </si>
  <si>
    <t>1428_M_11</t>
  </si>
  <si>
    <t>1428_M_12</t>
  </si>
  <si>
    <t>1428_F_8</t>
  </si>
  <si>
    <t>1428_F_9</t>
  </si>
  <si>
    <t>1428_F_10</t>
  </si>
  <si>
    <t>1428_F_11</t>
  </si>
  <si>
    <t>1428_F_12</t>
  </si>
  <si>
    <t>1428_F_13</t>
  </si>
  <si>
    <t>1428_F_14</t>
  </si>
  <si>
    <t>1428_F_15</t>
  </si>
  <si>
    <t>1428_F_16</t>
  </si>
  <si>
    <t>1428_F_17</t>
  </si>
  <si>
    <t>1428_F_18</t>
  </si>
  <si>
    <t>1428_F_19</t>
  </si>
  <si>
    <t>1428_M_13</t>
  </si>
  <si>
    <t>1428_M_14</t>
  </si>
  <si>
    <t>1428_M_15</t>
  </si>
  <si>
    <t>1428_M_16</t>
  </si>
  <si>
    <t>1428_M_17</t>
  </si>
  <si>
    <t>1428_M_18</t>
  </si>
  <si>
    <t>1428_M_19</t>
  </si>
  <si>
    <t>1428_M_20</t>
  </si>
  <si>
    <t>1428_M_21</t>
  </si>
  <si>
    <t>1428_M_22</t>
  </si>
  <si>
    <t>1428_M_23</t>
  </si>
  <si>
    <t>1428_M_24</t>
  </si>
  <si>
    <t>1428_F_20</t>
  </si>
  <si>
    <t>1428_F_21</t>
  </si>
  <si>
    <t>Extraction_Blank</t>
  </si>
  <si>
    <t>1428_M_25</t>
  </si>
  <si>
    <t>1428_M_26</t>
  </si>
  <si>
    <t>1428_M_27</t>
  </si>
  <si>
    <t>1428_M_28</t>
  </si>
  <si>
    <t>1428_M_29</t>
  </si>
  <si>
    <t>1428_M_30</t>
  </si>
  <si>
    <t>1428_M_31</t>
  </si>
  <si>
    <t>1428_M_32</t>
  </si>
  <si>
    <t>1428_M_33</t>
  </si>
  <si>
    <t>1428_F_22</t>
  </si>
  <si>
    <t>1428_F_23</t>
  </si>
  <si>
    <t>1428_F_24</t>
  </si>
  <si>
    <t>1428_F_25</t>
  </si>
  <si>
    <t>1428_F_26</t>
  </si>
  <si>
    <t>1428_F_27</t>
  </si>
  <si>
    <t>1428_M_34</t>
  </si>
  <si>
    <t>1428_M_35</t>
  </si>
  <si>
    <t>1428_M_36</t>
  </si>
  <si>
    <t>1428_M_37</t>
  </si>
  <si>
    <t>1428_M_38</t>
  </si>
  <si>
    <t>1428_M_39</t>
  </si>
  <si>
    <t>1428_M_40</t>
  </si>
  <si>
    <t>1428_M_41</t>
  </si>
  <si>
    <t>1428_M_42</t>
  </si>
  <si>
    <t>1428_M_43</t>
  </si>
  <si>
    <t>1428_M_44</t>
  </si>
  <si>
    <t>G1</t>
  </si>
  <si>
    <t>500_F_46</t>
  </si>
  <si>
    <t>500_F_47</t>
  </si>
  <si>
    <t>500_F_48</t>
  </si>
  <si>
    <t>500_F_49</t>
  </si>
  <si>
    <t>500_F_50</t>
  </si>
  <si>
    <t>500_F_51</t>
  </si>
  <si>
    <t>500_F_52</t>
  </si>
  <si>
    <t>500_F_53</t>
  </si>
  <si>
    <t>500_F_54</t>
  </si>
  <si>
    <t>500_F_55</t>
  </si>
  <si>
    <t>500_F_56</t>
  </si>
  <si>
    <t>500_F_57</t>
  </si>
  <si>
    <t>500_M_49</t>
  </si>
  <si>
    <t>500_M_50</t>
  </si>
  <si>
    <t>500_M_51</t>
  </si>
  <si>
    <t>500_M_52</t>
  </si>
  <si>
    <t>500_M_53</t>
  </si>
  <si>
    <t>500_M_54</t>
  </si>
  <si>
    <t>500_M_55</t>
  </si>
  <si>
    <t>500_M_56</t>
  </si>
  <si>
    <t>500_M_57</t>
  </si>
  <si>
    <t>500_M_58</t>
  </si>
  <si>
    <t>500_M_59</t>
  </si>
  <si>
    <t>500_M_60</t>
  </si>
  <si>
    <t>500_F_58</t>
  </si>
  <si>
    <t>500_F_59</t>
  </si>
  <si>
    <t>500_F_60</t>
  </si>
  <si>
    <t>500_F_61</t>
  </si>
  <si>
    <t>500_F_62</t>
  </si>
  <si>
    <t>500_F_63</t>
  </si>
  <si>
    <t>500_F_64</t>
  </si>
  <si>
    <t>500_F_65</t>
  </si>
  <si>
    <t>500_F_66</t>
  </si>
  <si>
    <t>500_F_67</t>
  </si>
  <si>
    <t>500_F_68</t>
  </si>
  <si>
    <t>500_F_69</t>
  </si>
  <si>
    <t>500_M_61</t>
  </si>
  <si>
    <t>500_M_62</t>
  </si>
  <si>
    <t>500_M_63</t>
  </si>
  <si>
    <t>500_M_64</t>
  </si>
  <si>
    <t>500_M_65</t>
  </si>
  <si>
    <t>500_M_66</t>
  </si>
  <si>
    <t>500_M_67</t>
  </si>
  <si>
    <t>500_M_68</t>
  </si>
  <si>
    <t>500_M_69</t>
  </si>
  <si>
    <t>500_M_70</t>
  </si>
  <si>
    <t>500_M_71</t>
  </si>
  <si>
    <t>500_M_72</t>
  </si>
  <si>
    <t>500_F_70</t>
  </si>
  <si>
    <t>500_F_71</t>
  </si>
  <si>
    <t>500_F_72</t>
  </si>
  <si>
    <t>500_F_73</t>
  </si>
  <si>
    <t>500_F_74</t>
  </si>
  <si>
    <t>500_F_75</t>
  </si>
  <si>
    <t>500_F_76</t>
  </si>
  <si>
    <t>500_F_77</t>
  </si>
  <si>
    <t>500_F_78</t>
  </si>
  <si>
    <t>500_F_79</t>
  </si>
  <si>
    <t>500_F_80</t>
  </si>
  <si>
    <t>500_F_81</t>
  </si>
  <si>
    <t>500_M_73</t>
  </si>
  <si>
    <t>500_M_74</t>
  </si>
  <si>
    <t>500_M_75</t>
  </si>
  <si>
    <t>500_M_76</t>
  </si>
  <si>
    <t>500_M_77</t>
  </si>
  <si>
    <t>500_M_78</t>
  </si>
  <si>
    <t>500_M_79</t>
  </si>
  <si>
    <t>500_M_80</t>
  </si>
  <si>
    <t>500_M_81</t>
  </si>
  <si>
    <t>500_M_82</t>
  </si>
  <si>
    <t>500_M_83</t>
  </si>
  <si>
    <t>500_M_84</t>
  </si>
  <si>
    <t>500_M_85</t>
  </si>
  <si>
    <t>500_M_86</t>
  </si>
  <si>
    <t>500_M_87</t>
  </si>
  <si>
    <t>500_M_88</t>
  </si>
  <si>
    <t>500_M_89</t>
  </si>
  <si>
    <t>500_M_90</t>
  </si>
  <si>
    <t>500_M_91</t>
  </si>
  <si>
    <t>500_M_92</t>
  </si>
  <si>
    <t>500_M_93</t>
  </si>
  <si>
    <t>500_M_94</t>
  </si>
  <si>
    <t>500_M_95</t>
  </si>
  <si>
    <t>500_M_96</t>
  </si>
  <si>
    <t>500_M_97</t>
  </si>
  <si>
    <t>500_M_98</t>
  </si>
  <si>
    <t>500_M_99</t>
  </si>
  <si>
    <t>500_M_100</t>
  </si>
  <si>
    <t>500_M_101</t>
  </si>
  <si>
    <t>500_M_102</t>
  </si>
  <si>
    <t>500_M_103</t>
  </si>
  <si>
    <t>500_M_104</t>
  </si>
  <si>
    <t>A1</t>
  </si>
  <si>
    <t>A2</t>
  </si>
  <si>
    <t>A3</t>
  </si>
  <si>
    <t>A4</t>
  </si>
  <si>
    <t>A5</t>
  </si>
  <si>
    <t>A7</t>
  </si>
  <si>
    <t>A10</t>
  </si>
  <si>
    <t>A11</t>
  </si>
  <si>
    <t>A12</t>
  </si>
  <si>
    <t>B2</t>
  </si>
  <si>
    <t>B3</t>
  </si>
  <si>
    <t>B5</t>
  </si>
  <si>
    <t>B7</t>
  </si>
  <si>
    <t>B9</t>
  </si>
  <si>
    <t>B10</t>
  </si>
  <si>
    <t>B12</t>
  </si>
  <si>
    <t>C2</t>
  </si>
  <si>
    <t>C4</t>
  </si>
  <si>
    <t>C5</t>
  </si>
  <si>
    <t>C6</t>
  </si>
  <si>
    <t>C7</t>
  </si>
  <si>
    <t>C9</t>
  </si>
  <si>
    <t>C11</t>
  </si>
  <si>
    <t>C12</t>
  </si>
  <si>
    <t>D2</t>
  </si>
  <si>
    <t>D3</t>
  </si>
  <si>
    <t>D5</t>
  </si>
  <si>
    <t>D7</t>
  </si>
  <si>
    <t>D8</t>
  </si>
  <si>
    <t>D11</t>
  </si>
  <si>
    <t>E2</t>
  </si>
  <si>
    <t>E6</t>
  </si>
  <si>
    <t>E8</t>
  </si>
  <si>
    <t>E10</t>
  </si>
  <si>
    <t>E11</t>
  </si>
  <si>
    <t>E12</t>
  </si>
  <si>
    <t>F1</t>
  </si>
  <si>
    <t>F2</t>
  </si>
  <si>
    <t>F9</t>
  </si>
  <si>
    <t>F11</t>
  </si>
  <si>
    <t>F12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</si>
  <si>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</si>
  <si>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</si>
  <si>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</si>
  <si>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</si>
  <si>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</si>
  <si>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</si>
  <si>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</si>
  <si>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</si>
  <si>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</si>
  <si>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</si>
  <si>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</si>
  <si>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</si>
  <si>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</si>
  <si>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H8</t>
  </si>
  <si>
    <t>H10</t>
  </si>
  <si>
    <t>H11</t>
  </si>
  <si>
    <t>H12</t>
  </si>
  <si>
    <t>1705 James</t>
  </si>
  <si>
    <t>Adobe</t>
  </si>
  <si>
    <t>Myrtle</t>
  </si>
  <si>
    <t>1118</t>
  </si>
  <si>
    <t>Extraction Positive</t>
  </si>
  <si>
    <t>Extraction Negative</t>
  </si>
  <si>
    <t>Wabash Ali wild 2 Aug col</t>
  </si>
  <si>
    <t>1020 Wabash</t>
  </si>
  <si>
    <t>Q5 High-Fidelity 2X MM</t>
  </si>
  <si>
    <t>5 M Betaine</t>
  </si>
  <si>
    <t>PCR_neg</t>
  </si>
  <si>
    <t>10 uM F (1914)</t>
  </si>
  <si>
    <t>10 uM R (1915)</t>
  </si>
  <si>
    <t>10 uM R (1916)</t>
  </si>
  <si>
    <t>1915/1916</t>
  </si>
  <si>
    <t>Cycling Conditions</t>
  </si>
  <si>
    <t>Step</t>
  </si>
  <si>
    <t>Temp</t>
  </si>
  <si>
    <t>Time</t>
  </si>
  <si>
    <t>2 min</t>
  </si>
  <si>
    <t>hold</t>
  </si>
  <si>
    <t>initial denaturation</t>
  </si>
  <si>
    <t>dentauration</t>
  </si>
  <si>
    <t>annealing</t>
  </si>
  <si>
    <t>extension</t>
  </si>
  <si>
    <t>cycles</t>
  </si>
  <si>
    <t>5 sec</t>
  </si>
  <si>
    <t>20 sec</t>
  </si>
  <si>
    <t>final extension</t>
  </si>
  <si>
    <r>
      <rPr>
        <b/>
        <sz val="16"/>
        <color theme="1"/>
        <rFont val="Calibri"/>
        <family val="2"/>
        <scheme val="minor"/>
      </rPr>
      <t>Purpose</t>
    </r>
    <r>
      <rPr>
        <sz val="16"/>
        <color theme="1"/>
        <rFont val="Calibri"/>
        <family val="2"/>
        <scheme val="minor"/>
      </rPr>
      <t>: I am using this protocol to screen the potential EVE positive samples using Ali's EVE genotyping primers. I will be running this PCR on 03/14/2025 and the gel on 03/15/2025.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</si>
</sst>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A5A0"/>
        <bgColor indexed="64"/>
      </patternFill>
    </fill>
    <fill>
      <patternFill patternType="solid">
        <fgColor rgb="FFE3D2FF"/>
        <bgColor indexed="64"/>
      </patternFill>
    </fill>
    <fill>
      <patternFill patternType="solid">
        <fgColor rgb="FFF7DCC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3" fillId="0" borderId="0" xfId="0" applyFont="1"/>
    <xf numFmtId="0" fontId="14" fillId="0" borderId="0" xfId="0" applyFont="1"/>
    <xf numFmtId="0" fontId="14" fillId="0" borderId="1" xfId="0" applyFont="1" applyBorder="1"/>
    <xf numFmtId="0" fontId="14" fillId="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2" fillId="0" borderId="0" xfId="0" applyFont="1"/>
    <xf numFmtId="0" fontId="15" fillId="0" borderId="1" xfId="0" applyFont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4" fillId="0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0" fillId="0" borderId="3" xfId="0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D2FF"/>
      <color rgb="FFFFA5A0"/>
      <color rgb="FFF7DC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190499</xdr:rowOff>
    </xdr:from>
    <xdr:to>
      <xdr:col>7</xdr:col>
      <xdr:colOff>596900</xdr:colOff>
      <xdr:row>114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86FFE-1E2C-40D1-9274-D83112126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671799"/>
          <a:ext cx="8509000" cy="7293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81EF-699D-E843-8F6F-B8F5022B240D}">
  <sheetPr>
    <pageSetUpPr fitToPage="1"/>
  </sheetPr>
  <dimension ref="A1:Q73"/>
  <sheetViews>
    <sheetView topLeftCell="E1" workbookViewId="0">
      <selection activeCell="G38" sqref="G37:H38"/>
    </sheetView>
  </sheetViews>
  <sheetFormatPr baseColWidth="10" defaultRowHeight="15" x14ac:dyDescent="0.2"/>
  <cols>
    <col min="1" max="1" width="25.6640625" customWidth="1"/>
    <col min="5" max="5" width="24" customWidth="1"/>
    <col min="13" max="13" width="11.1640625" bestFit="1" customWidth="1"/>
    <col min="14" max="14" width="17.33203125" bestFit="1" customWidth="1"/>
    <col min="15" max="15" width="19.6640625" bestFit="1" customWidth="1"/>
    <col min="17" max="17" width="13" bestFit="1" customWidth="1"/>
  </cols>
  <sheetData>
    <row r="1" spans="1:17" ht="15" customHeight="1" x14ac:dyDescent="0.2">
      <c r="A1" s="48" t="s">
        <v>71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7" ht="15" customHeight="1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7" ht="15" customHeight="1" x14ac:dyDescent="0.2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7" ht="21" customHeight="1" x14ac:dyDescent="0.2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7" ht="21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7" ht="21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7" x14ac:dyDescent="0.2">
      <c r="A7" s="13"/>
      <c r="B7" s="12">
        <v>1</v>
      </c>
      <c r="C7" s="12">
        <v>2</v>
      </c>
      <c r="D7" s="12">
        <v>3</v>
      </c>
      <c r="E7" s="12">
        <v>4</v>
      </c>
      <c r="F7" s="12">
        <v>5</v>
      </c>
      <c r="G7" s="12">
        <v>6</v>
      </c>
      <c r="H7" s="12">
        <v>7</v>
      </c>
      <c r="I7" s="12">
        <v>8</v>
      </c>
      <c r="J7" s="12">
        <v>9</v>
      </c>
      <c r="K7" s="12">
        <v>10</v>
      </c>
      <c r="L7" s="12">
        <v>11</v>
      </c>
      <c r="M7" s="12">
        <v>12</v>
      </c>
    </row>
    <row r="8" spans="1:17" ht="16" x14ac:dyDescent="0.2">
      <c r="A8" s="13" t="s">
        <v>24</v>
      </c>
      <c r="B8" s="21" t="s">
        <v>73</v>
      </c>
      <c r="C8" s="21" t="s">
        <v>74</v>
      </c>
      <c r="D8" s="22" t="s">
        <v>88</v>
      </c>
      <c r="E8" s="22" t="s">
        <v>89</v>
      </c>
      <c r="F8" s="22" t="s">
        <v>90</v>
      </c>
      <c r="G8" s="23" t="s">
        <v>88</v>
      </c>
      <c r="H8" s="23" t="s">
        <v>100</v>
      </c>
      <c r="I8" s="23" t="s">
        <v>93</v>
      </c>
      <c r="J8" s="23" t="s">
        <v>101</v>
      </c>
      <c r="K8" s="23" t="s">
        <v>95</v>
      </c>
      <c r="L8" s="39" t="s">
        <v>93</v>
      </c>
      <c r="M8" s="25"/>
      <c r="N8" t="s">
        <v>72</v>
      </c>
      <c r="O8" t="s">
        <v>87</v>
      </c>
      <c r="P8" t="s">
        <v>98</v>
      </c>
      <c r="Q8" t="s">
        <v>111</v>
      </c>
    </row>
    <row r="9" spans="1:17" ht="16" x14ac:dyDescent="0.2">
      <c r="A9" s="13" t="s">
        <v>25</v>
      </c>
      <c r="B9" s="24" t="s">
        <v>76</v>
      </c>
      <c r="C9" s="24" t="s">
        <v>77</v>
      </c>
      <c r="D9" s="24" t="s">
        <v>78</v>
      </c>
      <c r="E9" s="24" t="s">
        <v>79</v>
      </c>
      <c r="F9" s="24" t="s">
        <v>80</v>
      </c>
      <c r="G9" s="24" t="s">
        <v>81</v>
      </c>
      <c r="H9" s="24" t="s">
        <v>103</v>
      </c>
      <c r="I9" s="24" t="s">
        <v>431</v>
      </c>
      <c r="J9" s="24" t="s">
        <v>83</v>
      </c>
      <c r="K9" s="24" t="s">
        <v>84</v>
      </c>
      <c r="L9" s="24" t="s">
        <v>85</v>
      </c>
      <c r="M9" s="24" t="s">
        <v>86</v>
      </c>
      <c r="N9" t="s">
        <v>75</v>
      </c>
    </row>
    <row r="10" spans="1:17" ht="16" x14ac:dyDescent="0.2">
      <c r="A10" s="13" t="s">
        <v>26</v>
      </c>
      <c r="B10" s="26" t="s">
        <v>77</v>
      </c>
      <c r="C10" s="26" t="s">
        <v>92</v>
      </c>
      <c r="D10" s="26" t="s">
        <v>93</v>
      </c>
      <c r="E10" s="26" t="s">
        <v>94</v>
      </c>
      <c r="F10" s="26" t="s">
        <v>95</v>
      </c>
      <c r="G10" s="26" t="s">
        <v>96</v>
      </c>
      <c r="H10" s="26" t="s">
        <v>97</v>
      </c>
      <c r="I10" s="26" t="s">
        <v>84</v>
      </c>
      <c r="J10" s="26" t="s">
        <v>85</v>
      </c>
      <c r="K10" s="27" t="s">
        <v>108</v>
      </c>
      <c r="L10" s="27" t="s">
        <v>109</v>
      </c>
      <c r="M10" s="27" t="s">
        <v>110</v>
      </c>
      <c r="N10" t="s">
        <v>91</v>
      </c>
      <c r="O10" t="s">
        <v>107</v>
      </c>
    </row>
    <row r="11" spans="1:17" ht="16" x14ac:dyDescent="0.2">
      <c r="A11" s="13" t="s">
        <v>27</v>
      </c>
      <c r="B11" s="28" t="s">
        <v>100</v>
      </c>
      <c r="C11" s="28" t="s">
        <v>81</v>
      </c>
      <c r="D11" s="28" t="s">
        <v>103</v>
      </c>
      <c r="E11" s="28" t="s">
        <v>93</v>
      </c>
      <c r="F11" s="28" t="s">
        <v>104</v>
      </c>
      <c r="G11" s="28" t="s">
        <v>105</v>
      </c>
      <c r="H11" s="28" t="s">
        <v>94</v>
      </c>
      <c r="I11" s="28" t="s">
        <v>106</v>
      </c>
      <c r="J11" s="29" t="s">
        <v>113</v>
      </c>
      <c r="K11" s="29" t="s">
        <v>104</v>
      </c>
      <c r="L11" s="29" t="s">
        <v>114</v>
      </c>
      <c r="M11" s="25"/>
      <c r="N11" t="s">
        <v>102</v>
      </c>
      <c r="O11" t="s">
        <v>112</v>
      </c>
    </row>
    <row r="12" spans="1:17" ht="16" x14ac:dyDescent="0.2">
      <c r="A12" s="13" t="s">
        <v>28</v>
      </c>
      <c r="B12" s="30" t="s">
        <v>116</v>
      </c>
      <c r="C12" s="30" t="s">
        <v>118</v>
      </c>
      <c r="D12" s="30" t="s">
        <v>117</v>
      </c>
      <c r="E12" s="30" t="s">
        <v>95</v>
      </c>
      <c r="F12" s="30" t="s">
        <v>106</v>
      </c>
      <c r="G12" s="30" t="s">
        <v>119</v>
      </c>
      <c r="H12" s="25"/>
      <c r="I12" s="25"/>
      <c r="J12" s="25"/>
      <c r="K12" s="25"/>
      <c r="L12" s="25"/>
      <c r="M12" s="25"/>
      <c r="N12" t="s">
        <v>115</v>
      </c>
    </row>
    <row r="13" spans="1:17" ht="16" x14ac:dyDescent="0.2">
      <c r="A13" s="13" t="s">
        <v>29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7" ht="16" x14ac:dyDescent="0.2">
      <c r="A14" s="13" t="s">
        <v>30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7" ht="16" x14ac:dyDescent="0.2">
      <c r="A15" s="13" t="s">
        <v>31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8" spans="1:12" ht="16" x14ac:dyDescent="0.2">
      <c r="A18" s="2" t="s">
        <v>34</v>
      </c>
      <c r="B18" s="1"/>
      <c r="C18" s="1"/>
      <c r="D18" s="1"/>
      <c r="E18" s="1"/>
      <c r="F18" s="1"/>
      <c r="G18" s="1"/>
      <c r="H18" s="1"/>
    </row>
    <row r="19" spans="1:12" ht="16" x14ac:dyDescent="0.2">
      <c r="A19" s="1"/>
      <c r="B19" s="1"/>
      <c r="C19" s="1"/>
      <c r="D19" s="1"/>
      <c r="E19" s="1"/>
      <c r="F19" s="1"/>
      <c r="G19" s="1"/>
      <c r="H19" s="1"/>
    </row>
    <row r="20" spans="1:12" ht="16" x14ac:dyDescent="0.2">
      <c r="A20" s="1">
        <v>1</v>
      </c>
      <c r="B20" s="1" t="s">
        <v>15</v>
      </c>
      <c r="C20" s="1"/>
      <c r="D20" s="18" t="s">
        <v>69</v>
      </c>
      <c r="E20" s="1"/>
      <c r="F20" s="8"/>
      <c r="G20" s="8"/>
      <c r="H20" s="31" t="s">
        <v>121</v>
      </c>
      <c r="J20" s="8"/>
      <c r="K20" s="8"/>
      <c r="L20" s="31" t="s">
        <v>122</v>
      </c>
    </row>
    <row r="21" spans="1:12" ht="16" x14ac:dyDescent="0.2">
      <c r="A21" s="1"/>
      <c r="B21" s="1"/>
      <c r="C21" s="1" t="s">
        <v>1</v>
      </c>
      <c r="D21" s="3">
        <v>52</v>
      </c>
      <c r="E21" s="1"/>
      <c r="F21" s="1"/>
      <c r="G21" s="1" t="s">
        <v>1</v>
      </c>
      <c r="H21" s="3">
        <v>52</v>
      </c>
      <c r="J21" s="1"/>
      <c r="K21" s="1" t="s">
        <v>1</v>
      </c>
      <c r="L21" s="3">
        <v>52</v>
      </c>
    </row>
    <row r="22" spans="1:12" ht="16" x14ac:dyDescent="0.2">
      <c r="A22" s="1"/>
      <c r="B22" s="4"/>
      <c r="C22" s="1" t="s">
        <v>0</v>
      </c>
      <c r="D22" s="1"/>
      <c r="E22" s="1"/>
      <c r="F22" s="4"/>
      <c r="G22" s="1" t="s">
        <v>0</v>
      </c>
      <c r="H22" s="1"/>
      <c r="J22" s="4"/>
      <c r="K22" s="1" t="s">
        <v>0</v>
      </c>
      <c r="L22" s="1"/>
    </row>
    <row r="23" spans="1:12" ht="16" x14ac:dyDescent="0.2">
      <c r="A23" s="1"/>
      <c r="B23" s="11" t="s">
        <v>33</v>
      </c>
      <c r="C23" s="6">
        <v>5</v>
      </c>
      <c r="D23" s="6">
        <f>D21*C23*1.05</f>
        <v>273</v>
      </c>
      <c r="E23" s="1"/>
      <c r="F23" s="11" t="s">
        <v>33</v>
      </c>
      <c r="G23" s="6">
        <v>5</v>
      </c>
      <c r="H23" s="6">
        <f>H21*G23*1.05</f>
        <v>273</v>
      </c>
      <c r="J23" s="11" t="s">
        <v>33</v>
      </c>
      <c r="K23" s="6">
        <v>5</v>
      </c>
      <c r="L23" s="6">
        <f>L21*K23*1.05</f>
        <v>273</v>
      </c>
    </row>
    <row r="24" spans="1:12" ht="16" x14ac:dyDescent="0.2">
      <c r="A24" s="1"/>
      <c r="B24" s="5" t="s">
        <v>3</v>
      </c>
      <c r="C24" s="6">
        <v>0.5</v>
      </c>
      <c r="D24" s="6">
        <f>D21*C24*1.05</f>
        <v>27.3</v>
      </c>
      <c r="E24" s="1"/>
      <c r="F24" s="5" t="s">
        <v>3</v>
      </c>
      <c r="G24" s="6">
        <v>0.5</v>
      </c>
      <c r="H24" s="6">
        <f>H21*G24*1.05</f>
        <v>27.3</v>
      </c>
      <c r="J24" s="5" t="s">
        <v>3</v>
      </c>
      <c r="K24" s="6">
        <v>0.5</v>
      </c>
      <c r="L24" s="6">
        <f>L21*K24*1.05</f>
        <v>27.3</v>
      </c>
    </row>
    <row r="25" spans="1:12" ht="16" x14ac:dyDescent="0.2">
      <c r="A25" s="1"/>
      <c r="B25" s="5" t="s">
        <v>2</v>
      </c>
      <c r="C25" s="6">
        <v>2</v>
      </c>
      <c r="D25" s="6">
        <f>D21*C25*1.05</f>
        <v>109.2</v>
      </c>
      <c r="E25" s="1"/>
      <c r="F25" s="5" t="s">
        <v>2</v>
      </c>
      <c r="G25" s="6">
        <v>2</v>
      </c>
      <c r="H25" s="6">
        <f>H21*G25*1.05</f>
        <v>109.2</v>
      </c>
      <c r="J25" s="5" t="s">
        <v>2</v>
      </c>
      <c r="K25" s="6">
        <v>2</v>
      </c>
      <c r="L25" s="6">
        <f>L21*K25*1.05</f>
        <v>109.2</v>
      </c>
    </row>
    <row r="26" spans="1:12" ht="16" x14ac:dyDescent="0.2">
      <c r="A26" s="1"/>
      <c r="B26" s="5" t="s">
        <v>4</v>
      </c>
      <c r="C26" s="6">
        <v>2.5</v>
      </c>
      <c r="D26" s="7" t="s">
        <v>16</v>
      </c>
      <c r="E26" s="1"/>
      <c r="F26" s="5" t="s">
        <v>4</v>
      </c>
      <c r="G26" s="6">
        <v>2.5</v>
      </c>
      <c r="H26" s="7" t="s">
        <v>16</v>
      </c>
      <c r="J26" s="5" t="s">
        <v>4</v>
      </c>
      <c r="K26" s="6">
        <v>2.5</v>
      </c>
      <c r="L26" s="7" t="s">
        <v>16</v>
      </c>
    </row>
    <row r="27" spans="1:12" ht="16" x14ac:dyDescent="0.2">
      <c r="A27" s="1"/>
      <c r="B27" s="1"/>
      <c r="C27" s="1">
        <f>SUM(C23:C26)</f>
        <v>10</v>
      </c>
      <c r="D27" s="1">
        <f>SUM(D23:D25)</f>
        <v>409.5</v>
      </c>
      <c r="E27" s="1"/>
      <c r="F27" s="1"/>
      <c r="G27" s="1">
        <f>SUM(G23:G26)</f>
        <v>10</v>
      </c>
      <c r="H27" s="1">
        <f>SUM(H23:H25)</f>
        <v>409.5</v>
      </c>
      <c r="J27" s="1"/>
      <c r="K27" s="1">
        <f>SUM(K23:K26)</f>
        <v>10</v>
      </c>
      <c r="L27" s="1">
        <f>SUM(L23:L25)</f>
        <v>409.5</v>
      </c>
    </row>
    <row r="28" spans="1:12" ht="16" x14ac:dyDescent="0.2">
      <c r="A28" s="1"/>
      <c r="B28" s="1"/>
      <c r="C28" s="1"/>
      <c r="D28" s="1"/>
      <c r="E28" s="1"/>
      <c r="F28" s="1"/>
      <c r="G28" s="1"/>
      <c r="H28" s="1"/>
    </row>
    <row r="29" spans="1:12" ht="16" x14ac:dyDescent="0.2">
      <c r="A29" s="1"/>
      <c r="B29" s="1" t="s">
        <v>5</v>
      </c>
      <c r="C29" s="1"/>
      <c r="D29" s="1"/>
      <c r="E29" s="1"/>
      <c r="F29" s="1"/>
      <c r="G29" s="1"/>
      <c r="H29" s="1"/>
    </row>
    <row r="30" spans="1:12" ht="16" x14ac:dyDescent="0.2">
      <c r="A30" s="1"/>
      <c r="B30" s="1" t="s">
        <v>6</v>
      </c>
      <c r="C30" s="1"/>
      <c r="D30" s="1"/>
      <c r="E30" s="1"/>
      <c r="F30" s="1"/>
      <c r="G30" s="1"/>
      <c r="H30" s="1"/>
    </row>
    <row r="31" spans="1:12" ht="16" x14ac:dyDescent="0.2">
      <c r="A31" s="1"/>
      <c r="B31" s="1"/>
      <c r="C31" s="1"/>
      <c r="D31" s="1"/>
      <c r="E31" s="1"/>
      <c r="F31" s="1"/>
      <c r="G31" s="1"/>
      <c r="H31" s="1"/>
    </row>
    <row r="32" spans="1:12" ht="19" x14ac:dyDescent="0.25">
      <c r="A32" s="1"/>
      <c r="B32" s="16" t="s">
        <v>70</v>
      </c>
      <c r="C32" s="1"/>
      <c r="D32" s="1"/>
      <c r="E32" s="1"/>
      <c r="F32" s="1"/>
      <c r="G32" s="1"/>
      <c r="H32" s="1"/>
    </row>
    <row r="33" spans="1:13" ht="16" x14ac:dyDescent="0.2">
      <c r="A33" s="4" t="s">
        <v>23</v>
      </c>
      <c r="B33" s="9">
        <v>1</v>
      </c>
      <c r="C33" s="9">
        <v>2</v>
      </c>
      <c r="D33" s="9">
        <v>3</v>
      </c>
      <c r="E33" s="9">
        <v>4</v>
      </c>
      <c r="F33" s="9">
        <v>5</v>
      </c>
      <c r="G33" s="9">
        <v>6</v>
      </c>
      <c r="H33" s="9">
        <v>7</v>
      </c>
      <c r="I33" s="9">
        <v>8</v>
      </c>
      <c r="J33" s="9">
        <v>9</v>
      </c>
      <c r="K33" s="9">
        <v>10</v>
      </c>
      <c r="L33" s="9">
        <v>11</v>
      </c>
      <c r="M33" s="9">
        <v>12</v>
      </c>
    </row>
    <row r="34" spans="1:13" ht="16" x14ac:dyDescent="0.2">
      <c r="A34" s="10" t="s">
        <v>24</v>
      </c>
      <c r="B34" s="21" t="s">
        <v>73</v>
      </c>
      <c r="C34" s="21" t="s">
        <v>74</v>
      </c>
      <c r="D34" s="22" t="s">
        <v>88</v>
      </c>
      <c r="E34" s="22" t="s">
        <v>89</v>
      </c>
      <c r="F34" s="22" t="s">
        <v>90</v>
      </c>
      <c r="G34" s="23" t="s">
        <v>88</v>
      </c>
      <c r="H34" s="23" t="s">
        <v>100</v>
      </c>
      <c r="I34" s="23" t="s">
        <v>93</v>
      </c>
      <c r="J34" s="23" t="s">
        <v>101</v>
      </c>
      <c r="K34" s="23" t="s">
        <v>95</v>
      </c>
      <c r="L34" s="39" t="s">
        <v>93</v>
      </c>
      <c r="M34" s="25" t="s">
        <v>123</v>
      </c>
    </row>
    <row r="35" spans="1:13" ht="16" x14ac:dyDescent="0.2">
      <c r="A35" s="10" t="s">
        <v>25</v>
      </c>
      <c r="B35" s="24" t="s">
        <v>76</v>
      </c>
      <c r="C35" s="24" t="s">
        <v>77</v>
      </c>
      <c r="D35" s="24" t="s">
        <v>78</v>
      </c>
      <c r="E35" s="24" t="s">
        <v>79</v>
      </c>
      <c r="F35" s="24" t="s">
        <v>80</v>
      </c>
      <c r="G35" s="24" t="s">
        <v>81</v>
      </c>
      <c r="H35" s="24" t="s">
        <v>103</v>
      </c>
      <c r="I35" s="24" t="s">
        <v>431</v>
      </c>
      <c r="J35" s="24" t="s">
        <v>83</v>
      </c>
      <c r="K35" s="24" t="s">
        <v>84</v>
      </c>
      <c r="L35" s="24" t="s">
        <v>85</v>
      </c>
      <c r="M35" s="24" t="s">
        <v>86</v>
      </c>
    </row>
    <row r="36" spans="1:13" ht="16" x14ac:dyDescent="0.2">
      <c r="A36" s="10" t="s">
        <v>26</v>
      </c>
      <c r="B36" s="26" t="s">
        <v>77</v>
      </c>
      <c r="C36" s="26" t="s">
        <v>92</v>
      </c>
      <c r="D36" s="26" t="s">
        <v>93</v>
      </c>
      <c r="E36" s="26" t="s">
        <v>94</v>
      </c>
      <c r="F36" s="26" t="s">
        <v>95</v>
      </c>
      <c r="G36" s="26" t="s">
        <v>96</v>
      </c>
      <c r="H36" s="26" t="s">
        <v>97</v>
      </c>
      <c r="I36" s="26" t="s">
        <v>84</v>
      </c>
      <c r="J36" s="26" t="s">
        <v>85</v>
      </c>
      <c r="K36" s="27" t="s">
        <v>108</v>
      </c>
      <c r="L36" s="27" t="s">
        <v>109</v>
      </c>
      <c r="M36" s="27" t="s">
        <v>110</v>
      </c>
    </row>
    <row r="37" spans="1:13" ht="16" x14ac:dyDescent="0.2">
      <c r="A37" s="10" t="s">
        <v>27</v>
      </c>
      <c r="B37" s="28" t="s">
        <v>100</v>
      </c>
      <c r="C37" s="28" t="s">
        <v>81</v>
      </c>
      <c r="D37" s="28" t="s">
        <v>103</v>
      </c>
      <c r="E37" s="28" t="s">
        <v>93</v>
      </c>
      <c r="F37" s="28" t="s">
        <v>104</v>
      </c>
      <c r="G37" s="28" t="s">
        <v>105</v>
      </c>
      <c r="H37" s="28" t="s">
        <v>94</v>
      </c>
      <c r="I37" s="28" t="s">
        <v>106</v>
      </c>
      <c r="J37" s="29" t="s">
        <v>113</v>
      </c>
      <c r="K37" s="29" t="s">
        <v>104</v>
      </c>
      <c r="L37" s="29" t="s">
        <v>114</v>
      </c>
      <c r="M37" s="25"/>
    </row>
    <row r="38" spans="1:13" ht="16" x14ac:dyDescent="0.2">
      <c r="A38" s="10" t="s">
        <v>28</v>
      </c>
      <c r="B38" s="30" t="s">
        <v>116</v>
      </c>
      <c r="C38" s="30" t="s">
        <v>118</v>
      </c>
      <c r="D38" s="30" t="s">
        <v>117</v>
      </c>
      <c r="E38" s="30" t="s">
        <v>95</v>
      </c>
      <c r="F38" s="30" t="s">
        <v>106</v>
      </c>
      <c r="G38" s="30" t="s">
        <v>119</v>
      </c>
      <c r="H38" s="25"/>
      <c r="I38" s="25"/>
      <c r="J38" s="25"/>
      <c r="K38" s="25"/>
      <c r="L38" s="25"/>
      <c r="M38" s="25"/>
    </row>
    <row r="39" spans="1:13" ht="16" x14ac:dyDescent="0.2">
      <c r="A39" s="10" t="s"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ht="16" x14ac:dyDescent="0.2">
      <c r="A40" s="10" t="s"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ht="16" x14ac:dyDescent="0.2">
      <c r="A41" s="10" t="s"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ht="19" x14ac:dyDescent="0.25">
      <c r="A42" s="10"/>
      <c r="B42" s="15"/>
      <c r="C42" s="15"/>
      <c r="D42" s="15"/>
      <c r="E42" s="15"/>
      <c r="F42" s="14"/>
      <c r="G42" s="14"/>
      <c r="H42" s="15"/>
      <c r="I42" s="15"/>
      <c r="J42" s="15"/>
      <c r="K42" s="15"/>
      <c r="L42" s="14"/>
      <c r="M42" s="14"/>
    </row>
    <row r="43" spans="1:13" ht="19" x14ac:dyDescent="0.25">
      <c r="A43" s="10"/>
      <c r="B43" s="16" t="s">
        <v>35</v>
      </c>
      <c r="C43" s="15"/>
      <c r="D43" s="15"/>
      <c r="E43" s="15"/>
      <c r="F43" s="14"/>
      <c r="G43" s="14"/>
      <c r="H43" s="15"/>
      <c r="I43" s="15"/>
      <c r="J43" s="15"/>
      <c r="K43" s="15"/>
      <c r="L43" s="14"/>
      <c r="M43" s="14"/>
    </row>
    <row r="44" spans="1:13" ht="16" x14ac:dyDescent="0.2">
      <c r="A44" s="4" t="s">
        <v>23</v>
      </c>
      <c r="B44" s="9">
        <v>1</v>
      </c>
      <c r="C44" s="9">
        <v>2</v>
      </c>
      <c r="D44" s="9">
        <v>3</v>
      </c>
      <c r="E44" s="9">
        <v>4</v>
      </c>
      <c r="F44" s="9">
        <v>5</v>
      </c>
      <c r="G44" s="9">
        <v>6</v>
      </c>
      <c r="H44" s="9">
        <v>7</v>
      </c>
      <c r="I44" s="9">
        <v>8</v>
      </c>
      <c r="J44" s="9">
        <v>9</v>
      </c>
      <c r="K44" s="9">
        <v>10</v>
      </c>
      <c r="L44" s="9">
        <v>11</v>
      </c>
      <c r="M44" s="9">
        <v>12</v>
      </c>
    </row>
    <row r="45" spans="1:13" ht="16" x14ac:dyDescent="0.2">
      <c r="A45" s="10" t="s">
        <v>24</v>
      </c>
      <c r="B45" s="21" t="s">
        <v>73</v>
      </c>
      <c r="C45" s="21" t="s">
        <v>74</v>
      </c>
      <c r="D45" s="22" t="s">
        <v>88</v>
      </c>
      <c r="E45" s="22" t="s">
        <v>89</v>
      </c>
      <c r="F45" s="22" t="s">
        <v>90</v>
      </c>
      <c r="G45" s="23" t="s">
        <v>88</v>
      </c>
      <c r="H45" s="23" t="s">
        <v>100</v>
      </c>
      <c r="I45" s="23" t="s">
        <v>93</v>
      </c>
      <c r="J45" s="23" t="s">
        <v>101</v>
      </c>
      <c r="K45" s="23" t="s">
        <v>95</v>
      </c>
      <c r="L45" s="39" t="s">
        <v>93</v>
      </c>
      <c r="M45" s="25" t="s">
        <v>123</v>
      </c>
    </row>
    <row r="46" spans="1:13" ht="16" x14ac:dyDescent="0.2">
      <c r="A46" s="10" t="s">
        <v>25</v>
      </c>
      <c r="B46" s="24" t="s">
        <v>76</v>
      </c>
      <c r="C46" s="24" t="s">
        <v>77</v>
      </c>
      <c r="D46" s="24" t="s">
        <v>78</v>
      </c>
      <c r="E46" s="24" t="s">
        <v>79</v>
      </c>
      <c r="F46" s="24" t="s">
        <v>80</v>
      </c>
      <c r="G46" s="24" t="s">
        <v>81</v>
      </c>
      <c r="H46" s="24" t="s">
        <v>103</v>
      </c>
      <c r="I46" s="24" t="s">
        <v>431</v>
      </c>
      <c r="J46" s="24" t="s">
        <v>83</v>
      </c>
      <c r="K46" s="24" t="s">
        <v>84</v>
      </c>
      <c r="L46" s="24" t="s">
        <v>85</v>
      </c>
      <c r="M46" s="24" t="s">
        <v>86</v>
      </c>
    </row>
    <row r="47" spans="1:13" ht="16" x14ac:dyDescent="0.2">
      <c r="A47" s="10" t="s">
        <v>26</v>
      </c>
      <c r="B47" s="26" t="s">
        <v>77</v>
      </c>
      <c r="C47" s="26" t="s">
        <v>92</v>
      </c>
      <c r="D47" s="26" t="s">
        <v>93</v>
      </c>
      <c r="E47" s="26" t="s">
        <v>94</v>
      </c>
      <c r="F47" s="26" t="s">
        <v>95</v>
      </c>
      <c r="G47" s="26" t="s">
        <v>96</v>
      </c>
      <c r="H47" s="26" t="s">
        <v>97</v>
      </c>
      <c r="I47" s="26" t="s">
        <v>84</v>
      </c>
      <c r="J47" s="26" t="s">
        <v>85</v>
      </c>
      <c r="K47" s="27" t="s">
        <v>108</v>
      </c>
      <c r="L47" s="27" t="s">
        <v>109</v>
      </c>
      <c r="M47" s="27" t="s">
        <v>110</v>
      </c>
    </row>
    <row r="48" spans="1:13" ht="16" x14ac:dyDescent="0.2">
      <c r="A48" s="10" t="s">
        <v>27</v>
      </c>
      <c r="B48" s="28" t="s">
        <v>100</v>
      </c>
      <c r="C48" s="28" t="s">
        <v>81</v>
      </c>
      <c r="D48" s="28" t="s">
        <v>103</v>
      </c>
      <c r="E48" s="28" t="s">
        <v>93</v>
      </c>
      <c r="F48" s="28" t="s">
        <v>104</v>
      </c>
      <c r="G48" s="28" t="s">
        <v>105</v>
      </c>
      <c r="H48" s="28" t="s">
        <v>94</v>
      </c>
      <c r="I48" s="28" t="s">
        <v>106</v>
      </c>
      <c r="J48" s="29" t="s">
        <v>113</v>
      </c>
      <c r="K48" s="29" t="s">
        <v>104</v>
      </c>
      <c r="L48" s="29" t="s">
        <v>114</v>
      </c>
      <c r="M48" s="25"/>
    </row>
    <row r="49" spans="1:13" ht="16" x14ac:dyDescent="0.2">
      <c r="A49" s="10" t="s">
        <v>28</v>
      </c>
      <c r="B49" s="30" t="s">
        <v>116</v>
      </c>
      <c r="C49" s="30" t="s">
        <v>118</v>
      </c>
      <c r="D49" s="30" t="s">
        <v>117</v>
      </c>
      <c r="E49" s="30" t="s">
        <v>95</v>
      </c>
      <c r="F49" s="30" t="s">
        <v>106</v>
      </c>
      <c r="G49" s="30" t="s">
        <v>119</v>
      </c>
      <c r="H49" s="25"/>
      <c r="I49" s="25"/>
      <c r="J49" s="25"/>
      <c r="K49" s="25"/>
      <c r="L49" s="25"/>
      <c r="M49" s="25"/>
    </row>
    <row r="50" spans="1:13" ht="16" x14ac:dyDescent="0.2">
      <c r="A50" s="10" t="s">
        <v>29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6" x14ac:dyDescent="0.2">
      <c r="A51" s="10" t="s">
        <v>30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6" x14ac:dyDescent="0.2">
      <c r="A52" s="10" t="s">
        <v>31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6" x14ac:dyDescent="0.2">
      <c r="A53" s="1"/>
      <c r="B53" s="1"/>
      <c r="C53" s="1"/>
      <c r="D53" s="1"/>
      <c r="E53" s="1"/>
      <c r="F53" s="1"/>
      <c r="G53" s="1"/>
      <c r="H53" s="1"/>
    </row>
    <row r="54" spans="1:13" ht="19" x14ac:dyDescent="0.25">
      <c r="A54" s="10"/>
      <c r="B54" s="16" t="s">
        <v>120</v>
      </c>
      <c r="C54" s="15"/>
      <c r="D54" s="15"/>
      <c r="E54" s="15"/>
      <c r="F54" s="14"/>
      <c r="G54" s="14"/>
      <c r="H54" s="15"/>
      <c r="I54" s="15"/>
      <c r="J54" s="15"/>
      <c r="K54" s="15"/>
      <c r="L54" s="14"/>
      <c r="M54" s="14"/>
    </row>
    <row r="55" spans="1:13" ht="16" x14ac:dyDescent="0.2">
      <c r="A55" s="4" t="s">
        <v>23</v>
      </c>
      <c r="B55" s="9">
        <v>1</v>
      </c>
      <c r="C55" s="9">
        <v>2</v>
      </c>
      <c r="D55" s="9">
        <v>3</v>
      </c>
      <c r="E55" s="9">
        <v>4</v>
      </c>
      <c r="F55" s="9">
        <v>5</v>
      </c>
      <c r="G55" s="9">
        <v>6</v>
      </c>
      <c r="H55" s="9">
        <v>7</v>
      </c>
      <c r="I55" s="9">
        <v>8</v>
      </c>
      <c r="J55" s="9">
        <v>9</v>
      </c>
      <c r="K55" s="9">
        <v>10</v>
      </c>
      <c r="L55" s="9">
        <v>11</v>
      </c>
      <c r="M55" s="9">
        <v>12</v>
      </c>
    </row>
    <row r="56" spans="1:13" ht="16" x14ac:dyDescent="0.2">
      <c r="A56" s="10" t="s">
        <v>24</v>
      </c>
      <c r="B56" s="21" t="s">
        <v>73</v>
      </c>
      <c r="C56" s="21" t="s">
        <v>74</v>
      </c>
      <c r="D56" s="22" t="s">
        <v>88</v>
      </c>
      <c r="E56" s="22" t="s">
        <v>89</v>
      </c>
      <c r="F56" s="22" t="s">
        <v>90</v>
      </c>
      <c r="G56" s="23" t="s">
        <v>88</v>
      </c>
      <c r="H56" s="23" t="s">
        <v>100</v>
      </c>
      <c r="I56" s="23" t="s">
        <v>93</v>
      </c>
      <c r="J56" s="23" t="s">
        <v>101</v>
      </c>
      <c r="K56" s="23" t="s">
        <v>95</v>
      </c>
      <c r="L56" s="39" t="s">
        <v>93</v>
      </c>
      <c r="M56" s="25" t="s">
        <v>123</v>
      </c>
    </row>
    <row r="57" spans="1:13" ht="16" x14ac:dyDescent="0.2">
      <c r="A57" s="10" t="s">
        <v>25</v>
      </c>
      <c r="B57" s="24" t="s">
        <v>76</v>
      </c>
      <c r="C57" s="24" t="s">
        <v>77</v>
      </c>
      <c r="D57" s="24" t="s">
        <v>78</v>
      </c>
      <c r="E57" s="24" t="s">
        <v>79</v>
      </c>
      <c r="F57" s="24" t="s">
        <v>80</v>
      </c>
      <c r="G57" s="24" t="s">
        <v>81</v>
      </c>
      <c r="H57" s="24" t="s">
        <v>103</v>
      </c>
      <c r="I57" s="24" t="s">
        <v>431</v>
      </c>
      <c r="J57" s="24" t="s">
        <v>83</v>
      </c>
      <c r="K57" s="24" t="s">
        <v>84</v>
      </c>
      <c r="L57" s="24" t="s">
        <v>85</v>
      </c>
      <c r="M57" s="24" t="s">
        <v>86</v>
      </c>
    </row>
    <row r="58" spans="1:13" ht="16" x14ac:dyDescent="0.2">
      <c r="A58" s="10" t="s">
        <v>26</v>
      </c>
      <c r="B58" s="26" t="s">
        <v>77</v>
      </c>
      <c r="C58" s="26" t="s">
        <v>92</v>
      </c>
      <c r="D58" s="26" t="s">
        <v>93</v>
      </c>
      <c r="E58" s="26" t="s">
        <v>94</v>
      </c>
      <c r="F58" s="26" t="s">
        <v>95</v>
      </c>
      <c r="G58" s="26" t="s">
        <v>96</v>
      </c>
      <c r="H58" s="26" t="s">
        <v>97</v>
      </c>
      <c r="I58" s="26" t="s">
        <v>84</v>
      </c>
      <c r="J58" s="26" t="s">
        <v>85</v>
      </c>
      <c r="K58" s="27" t="s">
        <v>108</v>
      </c>
      <c r="L58" s="27" t="s">
        <v>109</v>
      </c>
      <c r="M58" s="27" t="s">
        <v>110</v>
      </c>
    </row>
    <row r="59" spans="1:13" ht="16" x14ac:dyDescent="0.2">
      <c r="A59" s="10" t="s">
        <v>27</v>
      </c>
      <c r="B59" s="28" t="s">
        <v>100</v>
      </c>
      <c r="C59" s="28" t="s">
        <v>81</v>
      </c>
      <c r="D59" s="28" t="s">
        <v>103</v>
      </c>
      <c r="E59" s="28" t="s">
        <v>93</v>
      </c>
      <c r="F59" s="28" t="s">
        <v>104</v>
      </c>
      <c r="G59" s="28" t="s">
        <v>105</v>
      </c>
      <c r="H59" s="28" t="s">
        <v>94</v>
      </c>
      <c r="I59" s="28" t="s">
        <v>106</v>
      </c>
      <c r="J59" s="29" t="s">
        <v>113</v>
      </c>
      <c r="K59" s="29" t="s">
        <v>104</v>
      </c>
      <c r="L59" s="29" t="s">
        <v>114</v>
      </c>
      <c r="M59" s="25"/>
    </row>
    <row r="60" spans="1:13" ht="16" x14ac:dyDescent="0.2">
      <c r="A60" s="10" t="s">
        <v>28</v>
      </c>
      <c r="B60" s="30" t="s">
        <v>116</v>
      </c>
      <c r="C60" s="30" t="s">
        <v>118</v>
      </c>
      <c r="D60" s="30" t="s">
        <v>117</v>
      </c>
      <c r="E60" s="30" t="s">
        <v>95</v>
      </c>
      <c r="F60" s="30" t="s">
        <v>106</v>
      </c>
      <c r="G60" s="30" t="s">
        <v>119</v>
      </c>
      <c r="H60" s="25"/>
      <c r="I60" s="25"/>
      <c r="J60" s="25"/>
      <c r="K60" s="25"/>
      <c r="L60" s="25"/>
      <c r="M60" s="25"/>
    </row>
    <row r="61" spans="1:13" ht="16" x14ac:dyDescent="0.2">
      <c r="A61" s="10" t="s">
        <v>29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6" x14ac:dyDescent="0.2">
      <c r="A62" s="10" t="s">
        <v>30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6" x14ac:dyDescent="0.2">
      <c r="A63" s="10" t="s">
        <v>31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6" x14ac:dyDescent="0.2">
      <c r="A64" s="1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8" ht="16" x14ac:dyDescent="0.2">
      <c r="A65" s="1">
        <v>2</v>
      </c>
      <c r="B65" s="1" t="s">
        <v>32</v>
      </c>
      <c r="C65" s="1"/>
      <c r="D65" s="1"/>
      <c r="E65" s="1"/>
      <c r="F65" s="1"/>
      <c r="G65" s="1"/>
      <c r="H65" s="1"/>
    </row>
    <row r="66" spans="1:8" ht="16" x14ac:dyDescent="0.2">
      <c r="A66" s="1">
        <v>3</v>
      </c>
      <c r="B66" s="1" t="s">
        <v>19</v>
      </c>
      <c r="C66" s="1"/>
      <c r="D66" s="1"/>
      <c r="E66" s="1"/>
      <c r="F66" s="1"/>
      <c r="G66" s="1"/>
      <c r="H66" s="1"/>
    </row>
    <row r="67" spans="1:8" ht="16" x14ac:dyDescent="0.2">
      <c r="A67" s="1">
        <v>4</v>
      </c>
      <c r="B67" s="1" t="s">
        <v>17</v>
      </c>
      <c r="C67" s="1"/>
      <c r="D67" s="1"/>
      <c r="E67" s="1"/>
      <c r="F67" s="1"/>
      <c r="G67" s="1"/>
      <c r="H67" s="1"/>
    </row>
    <row r="68" spans="1:8" ht="16" x14ac:dyDescent="0.2">
      <c r="A68" s="1"/>
      <c r="B68" s="1"/>
      <c r="C68" s="1"/>
      <c r="D68" s="1"/>
      <c r="E68" s="1"/>
      <c r="F68" s="1"/>
      <c r="G68" s="1"/>
      <c r="H68" s="1"/>
    </row>
    <row r="69" spans="1:8" ht="16" x14ac:dyDescent="0.2">
      <c r="A69" s="1"/>
      <c r="B69" s="1" t="s">
        <v>7</v>
      </c>
      <c r="C69" s="1"/>
      <c r="D69" s="1"/>
      <c r="E69" s="1"/>
      <c r="F69" s="1"/>
      <c r="G69" s="1"/>
      <c r="H69" s="1"/>
    </row>
    <row r="70" spans="1:8" ht="16" x14ac:dyDescent="0.2">
      <c r="A70" s="1"/>
      <c r="B70" s="6" t="s">
        <v>8</v>
      </c>
      <c r="C70" s="6" t="s">
        <v>9</v>
      </c>
      <c r="D70" s="6" t="s">
        <v>20</v>
      </c>
      <c r="E70" s="6" t="s">
        <v>0</v>
      </c>
      <c r="F70" s="1"/>
      <c r="G70" s="1"/>
      <c r="H70" s="1"/>
    </row>
    <row r="71" spans="1:8" ht="16" x14ac:dyDescent="0.2">
      <c r="A71" s="1"/>
      <c r="B71" s="6" t="s">
        <v>10</v>
      </c>
      <c r="C71" s="6" t="s">
        <v>9</v>
      </c>
      <c r="D71" s="6" t="s">
        <v>21</v>
      </c>
      <c r="E71" s="6" t="s">
        <v>11</v>
      </c>
      <c r="F71" s="1"/>
      <c r="G71" s="1"/>
      <c r="H71" s="1"/>
    </row>
    <row r="72" spans="1:8" ht="16" x14ac:dyDescent="0.2">
      <c r="A72" s="1"/>
      <c r="B72" s="6" t="s">
        <v>12</v>
      </c>
      <c r="C72" s="6" t="s">
        <v>13</v>
      </c>
      <c r="D72" s="6" t="s">
        <v>18</v>
      </c>
      <c r="E72" s="6" t="s">
        <v>14</v>
      </c>
      <c r="F72" s="1"/>
      <c r="G72" s="1"/>
      <c r="H72" s="1"/>
    </row>
    <row r="73" spans="1:8" ht="16" x14ac:dyDescent="0.2">
      <c r="A73" s="1"/>
      <c r="B73" s="6" t="s">
        <v>22</v>
      </c>
      <c r="C73" s="6"/>
      <c r="D73" s="6"/>
      <c r="E73" s="6"/>
      <c r="F73" s="1"/>
      <c r="G73" s="1"/>
      <c r="H73" s="1"/>
    </row>
  </sheetData>
  <mergeCells count="1">
    <mergeCell ref="A1:N4"/>
  </mergeCells>
  <pageMargins left="0.7" right="0.7" top="0.75" bottom="0.75" header="0.3" footer="0.3"/>
  <pageSetup scale="50" fitToHeight="2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0BEF-39FE-8043-A41B-0A3973475642}">
  <sheetPr>
    <pageSetUpPr fitToPage="1"/>
  </sheetPr>
  <dimension ref="A1:Q46"/>
  <sheetViews>
    <sheetView tabSelected="1" zoomScale="80" zoomScaleNormal="80" workbookViewId="0">
      <selection sqref="A1:Q47"/>
    </sheetView>
  </sheetViews>
  <sheetFormatPr baseColWidth="10" defaultRowHeight="15" x14ac:dyDescent="0.2"/>
  <cols>
    <col min="2" max="2" width="15.6640625" customWidth="1"/>
  </cols>
  <sheetData>
    <row r="1" spans="1:17" x14ac:dyDescent="0.2">
      <c r="A1" s="48" t="s">
        <v>611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7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7" x14ac:dyDescent="0.2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6" spans="1:17" x14ac:dyDescent="0.2">
      <c r="A6" s="13"/>
      <c r="B6" s="12">
        <v>1</v>
      </c>
      <c r="C6" s="12">
        <v>2</v>
      </c>
      <c r="D6" s="12">
        <v>3</v>
      </c>
      <c r="E6" s="12">
        <v>4</v>
      </c>
      <c r="F6" s="12">
        <v>5</v>
      </c>
      <c r="G6" s="12">
        <v>6</v>
      </c>
      <c r="H6" s="12">
        <v>7</v>
      </c>
      <c r="I6" s="12">
        <v>8</v>
      </c>
      <c r="J6" s="12">
        <v>9</v>
      </c>
      <c r="K6" s="12">
        <v>10</v>
      </c>
      <c r="L6" s="12">
        <v>11</v>
      </c>
      <c r="M6" s="12">
        <v>12</v>
      </c>
    </row>
    <row r="7" spans="1:17" ht="16" x14ac:dyDescent="0.2">
      <c r="A7" s="13" t="s">
        <v>24</v>
      </c>
      <c r="B7" s="49" t="s">
        <v>73</v>
      </c>
      <c r="C7" s="49" t="s">
        <v>74</v>
      </c>
      <c r="D7" s="50" t="s">
        <v>88</v>
      </c>
      <c r="E7" s="49" t="s">
        <v>89</v>
      </c>
      <c r="F7" s="50" t="s">
        <v>90</v>
      </c>
      <c r="G7" s="49" t="s">
        <v>88</v>
      </c>
      <c r="H7" s="49" t="s">
        <v>100</v>
      </c>
      <c r="I7" s="49" t="s">
        <v>93</v>
      </c>
      <c r="J7" s="50" t="s">
        <v>101</v>
      </c>
      <c r="K7" s="50" t="s">
        <v>95</v>
      </c>
      <c r="L7" s="50" t="s">
        <v>93</v>
      </c>
      <c r="M7" s="49"/>
      <c r="N7" t="s">
        <v>72</v>
      </c>
      <c r="O7" t="s">
        <v>87</v>
      </c>
      <c r="P7" t="s">
        <v>98</v>
      </c>
      <c r="Q7" t="s">
        <v>111</v>
      </c>
    </row>
    <row r="8" spans="1:17" ht="16" x14ac:dyDescent="0.2">
      <c r="A8" s="13" t="s">
        <v>25</v>
      </c>
      <c r="B8" s="50" t="s">
        <v>76</v>
      </c>
      <c r="C8" s="49" t="s">
        <v>77</v>
      </c>
      <c r="D8" s="50" t="s">
        <v>78</v>
      </c>
      <c r="E8" s="49" t="s">
        <v>79</v>
      </c>
      <c r="F8" s="49" t="s">
        <v>80</v>
      </c>
      <c r="G8" s="49" t="s">
        <v>81</v>
      </c>
      <c r="H8" s="49" t="s">
        <v>103</v>
      </c>
      <c r="I8" s="49" t="s">
        <v>431</v>
      </c>
      <c r="J8" s="49" t="s">
        <v>83</v>
      </c>
      <c r="K8" s="49" t="s">
        <v>84</v>
      </c>
      <c r="L8" s="49" t="s">
        <v>85</v>
      </c>
      <c r="M8" s="50" t="s">
        <v>86</v>
      </c>
      <c r="N8" t="s">
        <v>75</v>
      </c>
    </row>
    <row r="9" spans="1:17" ht="16" x14ac:dyDescent="0.2">
      <c r="A9" s="13" t="s">
        <v>26</v>
      </c>
      <c r="B9" s="49" t="s">
        <v>77</v>
      </c>
      <c r="C9" s="50" t="s">
        <v>92</v>
      </c>
      <c r="D9" s="49" t="s">
        <v>93</v>
      </c>
      <c r="E9" s="49" t="s">
        <v>94</v>
      </c>
      <c r="F9" s="49" t="s">
        <v>95</v>
      </c>
      <c r="G9" s="50" t="s">
        <v>96</v>
      </c>
      <c r="H9" s="50" t="s">
        <v>97</v>
      </c>
      <c r="I9" s="50" t="s">
        <v>84</v>
      </c>
      <c r="J9" s="49" t="s">
        <v>85</v>
      </c>
      <c r="K9" s="49" t="s">
        <v>108</v>
      </c>
      <c r="L9" s="50" t="s">
        <v>109</v>
      </c>
      <c r="M9" s="49" t="s">
        <v>110</v>
      </c>
      <c r="N9" t="s">
        <v>91</v>
      </c>
      <c r="O9" t="s">
        <v>107</v>
      </c>
    </row>
    <row r="10" spans="1:17" ht="16" x14ac:dyDescent="0.2">
      <c r="A10" s="13" t="s">
        <v>27</v>
      </c>
      <c r="B10" s="49" t="s">
        <v>100</v>
      </c>
      <c r="C10" s="50" t="s">
        <v>81</v>
      </c>
      <c r="D10" s="49" t="s">
        <v>103</v>
      </c>
      <c r="E10" s="50" t="s">
        <v>93</v>
      </c>
      <c r="F10" s="50" t="s">
        <v>104</v>
      </c>
      <c r="G10" s="49" t="s">
        <v>105</v>
      </c>
      <c r="H10" s="49" t="s">
        <v>94</v>
      </c>
      <c r="I10" s="49" t="s">
        <v>106</v>
      </c>
      <c r="J10" s="50" t="s">
        <v>113</v>
      </c>
      <c r="K10" s="50" t="s">
        <v>104</v>
      </c>
      <c r="L10" s="50" t="s">
        <v>114</v>
      </c>
      <c r="M10" s="49"/>
      <c r="N10" t="s">
        <v>102</v>
      </c>
      <c r="O10" t="s">
        <v>112</v>
      </c>
    </row>
    <row r="11" spans="1:17" ht="16" x14ac:dyDescent="0.2">
      <c r="A11" s="13" t="s">
        <v>28</v>
      </c>
      <c r="B11" s="49" t="s">
        <v>116</v>
      </c>
      <c r="C11" s="49" t="s">
        <v>118</v>
      </c>
      <c r="D11" s="49" t="s">
        <v>117</v>
      </c>
      <c r="E11" s="50" t="s">
        <v>95</v>
      </c>
      <c r="F11" s="50" t="s">
        <v>106</v>
      </c>
      <c r="G11" s="49" t="s">
        <v>119</v>
      </c>
      <c r="H11" s="49"/>
      <c r="I11" s="49"/>
      <c r="J11" s="49"/>
      <c r="K11" s="49"/>
      <c r="L11" s="49"/>
      <c r="M11" s="49"/>
      <c r="N11" t="s">
        <v>115</v>
      </c>
    </row>
    <row r="12" spans="1:17" ht="16" x14ac:dyDescent="0.2">
      <c r="A12" s="13" t="s">
        <v>29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7" ht="16" x14ac:dyDescent="0.2">
      <c r="A13" s="13" t="s">
        <v>30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7" ht="16" x14ac:dyDescent="0.2">
      <c r="A14" s="13" t="s">
        <v>31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7" spans="1:13" x14ac:dyDescent="0.2">
      <c r="A17" s="51"/>
    </row>
    <row r="18" spans="1:13" x14ac:dyDescent="0.2">
      <c r="B18" t="s">
        <v>596</v>
      </c>
      <c r="G18" t="s">
        <v>596</v>
      </c>
    </row>
    <row r="19" spans="1:13" ht="16" x14ac:dyDescent="0.2">
      <c r="A19" s="1"/>
      <c r="B19" s="1"/>
      <c r="C19" s="1" t="s">
        <v>1</v>
      </c>
      <c r="D19" s="3">
        <v>22</v>
      </c>
      <c r="G19" s="1"/>
      <c r="H19" s="1" t="s">
        <v>1</v>
      </c>
      <c r="I19" s="3">
        <v>22</v>
      </c>
    </row>
    <row r="20" spans="1:13" ht="16" x14ac:dyDescent="0.2">
      <c r="A20" s="1"/>
      <c r="B20" s="4"/>
      <c r="C20" s="1" t="s">
        <v>0</v>
      </c>
      <c r="D20" s="1"/>
      <c r="G20" s="4"/>
      <c r="H20" s="1" t="s">
        <v>0</v>
      </c>
      <c r="I20" s="1"/>
    </row>
    <row r="21" spans="1:13" ht="16" x14ac:dyDescent="0.2">
      <c r="A21" s="1"/>
      <c r="B21" s="52" t="s">
        <v>590</v>
      </c>
      <c r="C21" s="6">
        <v>12.5</v>
      </c>
      <c r="D21" s="6">
        <f>D19*C21*1.05</f>
        <v>288.75</v>
      </c>
      <c r="G21" s="52" t="s">
        <v>590</v>
      </c>
      <c r="H21" s="6">
        <v>12.5</v>
      </c>
      <c r="I21" s="6">
        <f>I19*H21*1.05</f>
        <v>288.75</v>
      </c>
    </row>
    <row r="22" spans="1:13" ht="16" x14ac:dyDescent="0.2">
      <c r="A22" s="1"/>
      <c r="B22" s="52" t="s">
        <v>593</v>
      </c>
      <c r="C22" s="6">
        <v>1.25</v>
      </c>
      <c r="D22" s="6">
        <f>D19*C22*1.05</f>
        <v>28.875</v>
      </c>
      <c r="G22" s="52" t="s">
        <v>593</v>
      </c>
      <c r="H22" s="6">
        <v>1.25</v>
      </c>
      <c r="I22" s="6">
        <f>I19*H22*1.05</f>
        <v>28.875</v>
      </c>
    </row>
    <row r="23" spans="1:13" ht="16" x14ac:dyDescent="0.2">
      <c r="A23" s="1"/>
      <c r="B23" s="52" t="s">
        <v>594</v>
      </c>
      <c r="C23" s="6">
        <v>1.25</v>
      </c>
      <c r="D23" s="6">
        <f>D19*C23*1.05</f>
        <v>28.875</v>
      </c>
      <c r="G23" s="52" t="s">
        <v>595</v>
      </c>
      <c r="H23" s="6">
        <v>1.25</v>
      </c>
      <c r="I23" s="6">
        <f>I19*H23*1.05</f>
        <v>28.875</v>
      </c>
    </row>
    <row r="24" spans="1:13" ht="16" x14ac:dyDescent="0.2">
      <c r="A24" s="1"/>
      <c r="B24" s="52" t="s">
        <v>591</v>
      </c>
      <c r="C24" s="6">
        <v>5</v>
      </c>
      <c r="D24" s="6">
        <f>D19*C24*1.05</f>
        <v>115.5</v>
      </c>
      <c r="G24" s="52" t="s">
        <v>591</v>
      </c>
      <c r="H24" s="6">
        <v>5</v>
      </c>
      <c r="I24" s="6">
        <f>I19*H24*1.05</f>
        <v>115.5</v>
      </c>
    </row>
    <row r="25" spans="1:13" ht="16" x14ac:dyDescent="0.2">
      <c r="A25" s="1"/>
      <c r="B25" s="5" t="s">
        <v>4</v>
      </c>
      <c r="C25" s="6">
        <v>5</v>
      </c>
      <c r="D25" s="7" t="s">
        <v>16</v>
      </c>
      <c r="G25" s="5" t="s">
        <v>4</v>
      </c>
      <c r="H25" s="6">
        <v>5</v>
      </c>
      <c r="I25" s="7" t="s">
        <v>16</v>
      </c>
    </row>
    <row r="26" spans="1:13" ht="16" x14ac:dyDescent="0.2">
      <c r="A26" s="1"/>
      <c r="B26" s="1"/>
      <c r="C26" s="1">
        <f>SUM(C21:C25)</f>
        <v>25</v>
      </c>
      <c r="D26" s="1">
        <f>SUM(D21:D24)</f>
        <v>462</v>
      </c>
      <c r="G26" s="1"/>
      <c r="H26" s="1">
        <f>SUM(H21:H25)</f>
        <v>25</v>
      </c>
      <c r="I26" s="1">
        <f>SUM(I21:I24)</f>
        <v>462</v>
      </c>
    </row>
    <row r="28" spans="1:13" x14ac:dyDescent="0.2">
      <c r="A28" s="13"/>
      <c r="B28" s="12">
        <v>1</v>
      </c>
      <c r="C28" s="12">
        <v>2</v>
      </c>
      <c r="D28" s="12">
        <v>3</v>
      </c>
      <c r="E28" s="12">
        <v>4</v>
      </c>
      <c r="F28" s="12">
        <v>5</v>
      </c>
      <c r="G28" s="12">
        <v>6</v>
      </c>
      <c r="H28" s="12">
        <v>7</v>
      </c>
      <c r="I28" s="12">
        <v>8</v>
      </c>
      <c r="J28" s="12">
        <v>9</v>
      </c>
      <c r="K28" s="12">
        <v>10</v>
      </c>
      <c r="L28" s="12">
        <v>11</v>
      </c>
      <c r="M28" s="12">
        <v>12</v>
      </c>
    </row>
    <row r="29" spans="1:13" ht="16" x14ac:dyDescent="0.2">
      <c r="A29" s="13" t="s">
        <v>24</v>
      </c>
      <c r="B29" s="27" t="s">
        <v>88</v>
      </c>
      <c r="C29" s="27" t="s">
        <v>90</v>
      </c>
      <c r="D29" s="27" t="s">
        <v>101</v>
      </c>
      <c r="E29" s="27" t="s">
        <v>95</v>
      </c>
      <c r="F29" s="27" t="s">
        <v>93</v>
      </c>
      <c r="G29" s="27" t="s">
        <v>76</v>
      </c>
      <c r="H29" s="27" t="s">
        <v>78</v>
      </c>
      <c r="I29" s="27" t="s">
        <v>86</v>
      </c>
      <c r="J29" s="27" t="s">
        <v>92</v>
      </c>
      <c r="K29" s="27" t="s">
        <v>96</v>
      </c>
      <c r="L29" s="27" t="s">
        <v>97</v>
      </c>
      <c r="M29" s="27" t="s">
        <v>84</v>
      </c>
    </row>
    <row r="30" spans="1:13" ht="16" x14ac:dyDescent="0.2">
      <c r="A30" s="13" t="s">
        <v>25</v>
      </c>
      <c r="B30" s="27" t="s">
        <v>109</v>
      </c>
      <c r="C30" s="27" t="s">
        <v>81</v>
      </c>
      <c r="D30" s="27" t="s">
        <v>93</v>
      </c>
      <c r="E30" s="27" t="s">
        <v>104</v>
      </c>
      <c r="F30" s="27" t="s">
        <v>113</v>
      </c>
      <c r="G30" s="27" t="s">
        <v>104</v>
      </c>
      <c r="H30" s="27" t="s">
        <v>114</v>
      </c>
      <c r="I30" s="27" t="s">
        <v>95</v>
      </c>
      <c r="J30" s="27" t="s">
        <v>106</v>
      </c>
      <c r="K30" s="27" t="s">
        <v>592</v>
      </c>
      <c r="L30" s="49"/>
      <c r="M30" s="49"/>
    </row>
    <row r="31" spans="1:13" ht="16" x14ac:dyDescent="0.2">
      <c r="A31" s="13" t="s">
        <v>26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 ht="16" x14ac:dyDescent="0.2">
      <c r="A32" s="13" t="s">
        <v>27</v>
      </c>
      <c r="B32" s="28" t="s">
        <v>88</v>
      </c>
      <c r="C32" s="28" t="s">
        <v>90</v>
      </c>
      <c r="D32" s="28" t="s">
        <v>101</v>
      </c>
      <c r="E32" s="28" t="s">
        <v>95</v>
      </c>
      <c r="F32" s="28" t="s">
        <v>93</v>
      </c>
      <c r="G32" s="28" t="s">
        <v>76</v>
      </c>
      <c r="H32" s="28" t="s">
        <v>78</v>
      </c>
      <c r="I32" s="28" t="s">
        <v>86</v>
      </c>
      <c r="J32" s="28" t="s">
        <v>92</v>
      </c>
      <c r="K32" s="28" t="s">
        <v>96</v>
      </c>
      <c r="L32" s="28" t="s">
        <v>97</v>
      </c>
      <c r="M32" s="28" t="s">
        <v>84</v>
      </c>
    </row>
    <row r="33" spans="1:13" ht="16" x14ac:dyDescent="0.2">
      <c r="A33" s="13" t="s">
        <v>28</v>
      </c>
      <c r="B33" s="28" t="s">
        <v>109</v>
      </c>
      <c r="C33" s="28" t="s">
        <v>81</v>
      </c>
      <c r="D33" s="28" t="s">
        <v>93</v>
      </c>
      <c r="E33" s="28" t="s">
        <v>104</v>
      </c>
      <c r="F33" s="28" t="s">
        <v>113</v>
      </c>
      <c r="G33" s="28" t="s">
        <v>104</v>
      </c>
      <c r="H33" s="28" t="s">
        <v>114</v>
      </c>
      <c r="I33" s="28" t="s">
        <v>95</v>
      </c>
      <c r="J33" s="28" t="s">
        <v>106</v>
      </c>
      <c r="K33" s="28" t="s">
        <v>592</v>
      </c>
      <c r="L33" s="49"/>
      <c r="M33" s="49"/>
    </row>
    <row r="34" spans="1:13" ht="16" x14ac:dyDescent="0.2">
      <c r="A34" s="13" t="s">
        <v>29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 ht="16" x14ac:dyDescent="0.2">
      <c r="A35" s="13" t="s">
        <v>30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 ht="16" x14ac:dyDescent="0.2">
      <c r="A36" s="13" t="s">
        <v>31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9" spans="1:13" x14ac:dyDescent="0.2">
      <c r="A39" s="53" t="s">
        <v>597</v>
      </c>
    </row>
    <row r="40" spans="1:13" x14ac:dyDescent="0.2">
      <c r="B40" s="54" t="s">
        <v>598</v>
      </c>
      <c r="C40" s="54" t="s">
        <v>599</v>
      </c>
      <c r="D40" s="54" t="s">
        <v>600</v>
      </c>
      <c r="E40" s="56" t="s">
        <v>607</v>
      </c>
    </row>
    <row r="41" spans="1:13" x14ac:dyDescent="0.2">
      <c r="B41" s="55" t="s">
        <v>603</v>
      </c>
      <c r="C41" s="55">
        <v>98</v>
      </c>
      <c r="D41" s="55" t="s">
        <v>18</v>
      </c>
      <c r="E41" s="57">
        <v>1</v>
      </c>
    </row>
    <row r="42" spans="1:13" x14ac:dyDescent="0.2">
      <c r="B42" s="55" t="s">
        <v>604</v>
      </c>
      <c r="C42" s="55">
        <v>98</v>
      </c>
      <c r="D42" s="55" t="s">
        <v>608</v>
      </c>
      <c r="E42" s="58">
        <v>30</v>
      </c>
    </row>
    <row r="43" spans="1:13" x14ac:dyDescent="0.2">
      <c r="B43" s="55" t="s">
        <v>605</v>
      </c>
      <c r="C43" s="55">
        <v>65</v>
      </c>
      <c r="D43" s="55" t="s">
        <v>609</v>
      </c>
      <c r="E43" s="59"/>
    </row>
    <row r="44" spans="1:13" x14ac:dyDescent="0.2">
      <c r="B44" s="55" t="s">
        <v>606</v>
      </c>
      <c r="C44" s="55">
        <v>72</v>
      </c>
      <c r="D44" s="55" t="s">
        <v>609</v>
      </c>
      <c r="E44" s="60"/>
    </row>
    <row r="45" spans="1:13" x14ac:dyDescent="0.2">
      <c r="B45" s="55" t="s">
        <v>610</v>
      </c>
      <c r="C45" s="55">
        <v>72</v>
      </c>
      <c r="D45" s="55" t="s">
        <v>601</v>
      </c>
      <c r="E45" s="61">
        <v>1</v>
      </c>
    </row>
    <row r="46" spans="1:13" x14ac:dyDescent="0.2">
      <c r="B46" s="55" t="s">
        <v>602</v>
      </c>
      <c r="C46" s="55">
        <v>4</v>
      </c>
      <c r="D46" s="55"/>
      <c r="E46" s="57"/>
    </row>
  </sheetData>
  <mergeCells count="2">
    <mergeCell ref="E42:E44"/>
    <mergeCell ref="A1:M3"/>
  </mergeCells>
  <pageMargins left="0.7" right="0.7" top="0.75" bottom="0.75" header="0.3" footer="0.3"/>
  <pageSetup scale="5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35D8-042A-BC4C-B0AF-533505F89091}">
  <sheetPr>
    <pageSetUpPr fitToPage="1"/>
  </sheetPr>
  <dimension ref="A2:AA112"/>
  <sheetViews>
    <sheetView topLeftCell="A65" zoomScale="60" zoomScaleNormal="60" workbookViewId="0">
      <selection activeCell="A85" sqref="A85:XFD85"/>
    </sheetView>
  </sheetViews>
  <sheetFormatPr baseColWidth="10" defaultRowHeight="15" x14ac:dyDescent="0.2"/>
  <cols>
    <col min="1" max="1" width="12.83203125" customWidth="1"/>
    <col min="2" max="13" width="23.33203125" bestFit="1" customWidth="1"/>
  </cols>
  <sheetData>
    <row r="2" spans="1:27" ht="19" x14ac:dyDescent="0.25">
      <c r="A2" s="16" t="s">
        <v>72</v>
      </c>
    </row>
    <row r="3" spans="1:27" x14ac:dyDescent="0.2">
      <c r="A3" s="13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</row>
    <row r="4" spans="1:27" ht="16" x14ac:dyDescent="0.2">
      <c r="A4" s="13" t="s">
        <v>24</v>
      </c>
      <c r="B4" s="32" t="s">
        <v>36</v>
      </c>
      <c r="C4" s="32" t="s">
        <v>37</v>
      </c>
      <c r="D4" s="32" t="s">
        <v>38</v>
      </c>
      <c r="E4" s="32" t="s">
        <v>39</v>
      </c>
      <c r="F4" s="32" t="s">
        <v>40</v>
      </c>
      <c r="G4" s="33" t="s">
        <v>41</v>
      </c>
      <c r="H4" s="32" t="s">
        <v>42</v>
      </c>
      <c r="I4" s="32" t="s">
        <v>43</v>
      </c>
      <c r="J4" s="32" t="s">
        <v>44</v>
      </c>
      <c r="K4" s="32" t="s">
        <v>45</v>
      </c>
      <c r="L4" s="32" t="s">
        <v>46</v>
      </c>
      <c r="M4" s="32" t="s">
        <v>47</v>
      </c>
      <c r="O4" s="13"/>
      <c r="P4" s="12">
        <v>1</v>
      </c>
      <c r="Q4" s="12">
        <v>2</v>
      </c>
      <c r="R4" s="12">
        <v>3</v>
      </c>
      <c r="S4" s="12">
        <v>4</v>
      </c>
      <c r="T4" s="12">
        <v>5</v>
      </c>
      <c r="U4" s="12">
        <v>6</v>
      </c>
      <c r="V4" s="12">
        <v>7</v>
      </c>
      <c r="W4" s="12">
        <v>8</v>
      </c>
      <c r="X4" s="12">
        <v>9</v>
      </c>
      <c r="Y4" s="12">
        <v>10</v>
      </c>
      <c r="Z4" s="12">
        <v>11</v>
      </c>
      <c r="AA4" s="12">
        <v>12</v>
      </c>
    </row>
    <row r="5" spans="1:27" ht="16" x14ac:dyDescent="0.2">
      <c r="A5" s="13" t="s">
        <v>25</v>
      </c>
      <c r="B5" s="32" t="s">
        <v>48</v>
      </c>
      <c r="C5" s="32" t="s">
        <v>49</v>
      </c>
      <c r="D5" s="32" t="s">
        <v>50</v>
      </c>
      <c r="E5" s="32" t="s">
        <v>51</v>
      </c>
      <c r="F5" s="32" t="s">
        <v>52</v>
      </c>
      <c r="G5" s="32" t="s">
        <v>53</v>
      </c>
      <c r="H5" s="32" t="s">
        <v>54</v>
      </c>
      <c r="I5" s="32" t="s">
        <v>55</v>
      </c>
      <c r="J5" s="32" t="s">
        <v>56</v>
      </c>
      <c r="K5" s="32" t="s">
        <v>57</v>
      </c>
      <c r="L5" s="32" t="s">
        <v>58</v>
      </c>
      <c r="M5" s="32" t="s">
        <v>59</v>
      </c>
      <c r="O5" s="13" t="s">
        <v>24</v>
      </c>
      <c r="P5" s="21" t="s">
        <v>73</v>
      </c>
      <c r="Q5" s="21" t="s">
        <v>74</v>
      </c>
      <c r="R5" s="22" t="s">
        <v>88</v>
      </c>
      <c r="S5" s="22" t="s">
        <v>89</v>
      </c>
      <c r="T5" s="22" t="s">
        <v>90</v>
      </c>
      <c r="U5" s="23" t="s">
        <v>88</v>
      </c>
      <c r="V5" s="23" t="s">
        <v>99</v>
      </c>
      <c r="W5" s="23" t="s">
        <v>100</v>
      </c>
      <c r="X5" s="23" t="s">
        <v>93</v>
      </c>
      <c r="Y5" s="23" t="s">
        <v>101</v>
      </c>
      <c r="Z5" s="23" t="s">
        <v>95</v>
      </c>
      <c r="AA5" s="23" t="s">
        <v>93</v>
      </c>
    </row>
    <row r="6" spans="1:27" ht="16" x14ac:dyDescent="0.2">
      <c r="A6" s="13" t="s">
        <v>26</v>
      </c>
      <c r="B6" s="32" t="s">
        <v>60</v>
      </c>
      <c r="C6" s="32" t="s">
        <v>61</v>
      </c>
      <c r="D6" s="32" t="s">
        <v>62</v>
      </c>
      <c r="E6" s="32" t="s">
        <v>63</v>
      </c>
      <c r="F6" s="32" t="s">
        <v>64</v>
      </c>
      <c r="G6" s="32" t="s">
        <v>65</v>
      </c>
      <c r="H6" s="32" t="s">
        <v>66</v>
      </c>
      <c r="I6" s="32" t="s">
        <v>67</v>
      </c>
      <c r="J6" s="32" t="s">
        <v>68</v>
      </c>
      <c r="K6" s="32"/>
      <c r="L6" s="32"/>
      <c r="M6" s="32"/>
      <c r="O6" s="13" t="s">
        <v>25</v>
      </c>
      <c r="P6" s="24" t="s">
        <v>76</v>
      </c>
      <c r="Q6" s="24" t="s">
        <v>77</v>
      </c>
      <c r="R6" s="24" t="s">
        <v>78</v>
      </c>
      <c r="S6" s="24" t="s">
        <v>79</v>
      </c>
      <c r="T6" s="24" t="s">
        <v>80</v>
      </c>
      <c r="U6" s="24" t="s">
        <v>81</v>
      </c>
      <c r="V6" s="24" t="s">
        <v>82</v>
      </c>
      <c r="W6" s="24" t="s">
        <v>83</v>
      </c>
      <c r="X6" s="24" t="s">
        <v>84</v>
      </c>
      <c r="Y6" s="24" t="s">
        <v>85</v>
      </c>
      <c r="Z6" s="24" t="s">
        <v>86</v>
      </c>
      <c r="AA6" s="25"/>
    </row>
    <row r="7" spans="1:27" ht="16" x14ac:dyDescent="0.2">
      <c r="A7" s="13" t="s">
        <v>27</v>
      </c>
      <c r="B7" s="32" t="s">
        <v>124</v>
      </c>
      <c r="C7" s="32" t="s">
        <v>125</v>
      </c>
      <c r="D7" s="32" t="s">
        <v>126</v>
      </c>
      <c r="E7" s="32" t="s">
        <v>127</v>
      </c>
      <c r="F7" s="32" t="s">
        <v>128</v>
      </c>
      <c r="G7" s="32" t="s">
        <v>129</v>
      </c>
      <c r="H7" s="32" t="s">
        <v>130</v>
      </c>
      <c r="I7" s="32" t="s">
        <v>131</v>
      </c>
      <c r="J7" s="32" t="s">
        <v>132</v>
      </c>
      <c r="K7" s="32" t="s">
        <v>133</v>
      </c>
      <c r="L7" s="32" t="s">
        <v>134</v>
      </c>
      <c r="M7" s="32" t="s">
        <v>135</v>
      </c>
      <c r="O7" s="13" t="s">
        <v>26</v>
      </c>
      <c r="P7" s="26" t="s">
        <v>77</v>
      </c>
      <c r="Q7" s="26" t="s">
        <v>92</v>
      </c>
      <c r="R7" s="26" t="s">
        <v>93</v>
      </c>
      <c r="S7" s="26" t="s">
        <v>94</v>
      </c>
      <c r="T7" s="26" t="s">
        <v>95</v>
      </c>
      <c r="U7" s="26" t="s">
        <v>96</v>
      </c>
      <c r="V7" s="26" t="s">
        <v>97</v>
      </c>
      <c r="W7" s="26" t="s">
        <v>84</v>
      </c>
      <c r="X7" s="26" t="s">
        <v>85</v>
      </c>
      <c r="Y7" s="27" t="s">
        <v>108</v>
      </c>
      <c r="Z7" s="27" t="s">
        <v>109</v>
      </c>
      <c r="AA7" s="27" t="s">
        <v>110</v>
      </c>
    </row>
    <row r="8" spans="1:27" ht="16" x14ac:dyDescent="0.2">
      <c r="A8" s="13" t="s">
        <v>28</v>
      </c>
      <c r="B8" s="32" t="s">
        <v>136</v>
      </c>
      <c r="C8" s="32" t="s">
        <v>137</v>
      </c>
      <c r="D8" s="32" t="s">
        <v>138</v>
      </c>
      <c r="E8" s="32" t="s">
        <v>139</v>
      </c>
      <c r="F8" s="32" t="s">
        <v>140</v>
      </c>
      <c r="G8" s="32" t="s">
        <v>141</v>
      </c>
      <c r="H8" s="32" t="s">
        <v>142</v>
      </c>
      <c r="I8" s="32" t="s">
        <v>143</v>
      </c>
      <c r="J8" s="33" t="s">
        <v>144</v>
      </c>
      <c r="K8" s="32" t="s">
        <v>145</v>
      </c>
      <c r="L8" s="32" t="s">
        <v>146</v>
      </c>
      <c r="M8" s="32" t="s">
        <v>147</v>
      </c>
      <c r="O8" s="13" t="s">
        <v>27</v>
      </c>
      <c r="P8" s="28" t="s">
        <v>100</v>
      </c>
      <c r="Q8" s="28" t="s">
        <v>81</v>
      </c>
      <c r="R8" s="28" t="s">
        <v>103</v>
      </c>
      <c r="S8" s="28" t="s">
        <v>93</v>
      </c>
      <c r="T8" s="28" t="s">
        <v>104</v>
      </c>
      <c r="U8" s="28" t="s">
        <v>105</v>
      </c>
      <c r="V8" s="28" t="s">
        <v>94</v>
      </c>
      <c r="W8" s="28" t="s">
        <v>106</v>
      </c>
      <c r="X8" s="29" t="s">
        <v>113</v>
      </c>
      <c r="Y8" s="29" t="s">
        <v>104</v>
      </c>
      <c r="Z8" s="29" t="s">
        <v>114</v>
      </c>
      <c r="AA8" s="25"/>
    </row>
    <row r="9" spans="1:27" ht="16" x14ac:dyDescent="0.2">
      <c r="A9" s="13" t="s">
        <v>29</v>
      </c>
      <c r="B9" s="32" t="s">
        <v>148</v>
      </c>
      <c r="C9" s="32" t="s">
        <v>149</v>
      </c>
      <c r="D9" s="32" t="s">
        <v>150</v>
      </c>
      <c r="E9" s="32" t="s">
        <v>151</v>
      </c>
      <c r="F9" s="32" t="s">
        <v>152</v>
      </c>
      <c r="G9" s="32" t="s">
        <v>153</v>
      </c>
      <c r="H9" s="32" t="s">
        <v>154</v>
      </c>
      <c r="I9" s="32" t="s">
        <v>155</v>
      </c>
      <c r="J9" s="25"/>
      <c r="K9" s="25"/>
      <c r="L9" s="25"/>
      <c r="M9" s="25"/>
      <c r="O9" s="13" t="s">
        <v>28</v>
      </c>
      <c r="P9" s="30" t="s">
        <v>116</v>
      </c>
      <c r="Q9" s="30" t="s">
        <v>118</v>
      </c>
      <c r="R9" s="30" t="s">
        <v>117</v>
      </c>
      <c r="S9" s="30" t="s">
        <v>95</v>
      </c>
      <c r="T9" s="30" t="s">
        <v>106</v>
      </c>
      <c r="U9" s="30" t="s">
        <v>119</v>
      </c>
      <c r="V9" s="25"/>
      <c r="W9" s="25"/>
      <c r="X9" s="25"/>
      <c r="Y9" s="25"/>
      <c r="Z9" s="25"/>
      <c r="AA9" s="25"/>
    </row>
    <row r="10" spans="1:27" ht="16" x14ac:dyDescent="0.2">
      <c r="A10" s="13" t="s">
        <v>30</v>
      </c>
      <c r="B10" s="32" t="s">
        <v>156</v>
      </c>
      <c r="C10" s="32" t="s">
        <v>157</v>
      </c>
      <c r="D10" s="32" t="s">
        <v>158</v>
      </c>
      <c r="E10" s="32" t="s">
        <v>159</v>
      </c>
      <c r="F10" s="32" t="s">
        <v>160</v>
      </c>
      <c r="G10" s="25"/>
      <c r="H10" s="25"/>
      <c r="I10" s="25"/>
      <c r="J10" s="25"/>
      <c r="K10" s="25"/>
      <c r="L10" s="25"/>
      <c r="M10" s="25"/>
      <c r="O10" s="13" t="s">
        <v>29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6" x14ac:dyDescent="0.2">
      <c r="A11" s="13" t="s">
        <v>31</v>
      </c>
      <c r="B11" s="32" t="s">
        <v>161</v>
      </c>
      <c r="C11" s="32" t="s">
        <v>162</v>
      </c>
      <c r="D11" s="32" t="s">
        <v>163</v>
      </c>
      <c r="E11" s="32" t="s">
        <v>164</v>
      </c>
      <c r="F11" s="32" t="s">
        <v>165</v>
      </c>
      <c r="G11" s="32" t="s">
        <v>166</v>
      </c>
      <c r="H11" s="32" t="s">
        <v>167</v>
      </c>
      <c r="I11" s="32" t="s">
        <v>168</v>
      </c>
      <c r="J11" s="32" t="s">
        <v>169</v>
      </c>
      <c r="K11" s="32" t="s">
        <v>170</v>
      </c>
      <c r="L11" s="32" t="s">
        <v>171</v>
      </c>
      <c r="M11" s="32" t="s">
        <v>172</v>
      </c>
      <c r="O11" s="13" t="s">
        <v>30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6" x14ac:dyDescent="0.2">
      <c r="O12" s="13" t="s">
        <v>31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9" x14ac:dyDescent="0.25">
      <c r="A13" s="34" t="s">
        <v>87</v>
      </c>
    </row>
    <row r="14" spans="1:27" x14ac:dyDescent="0.2">
      <c r="A14" s="13"/>
      <c r="B14" s="12">
        <v>1</v>
      </c>
      <c r="C14" s="12">
        <v>2</v>
      </c>
      <c r="D14" s="12">
        <v>3</v>
      </c>
      <c r="E14" s="12">
        <v>4</v>
      </c>
      <c r="F14" s="12">
        <v>5</v>
      </c>
      <c r="G14" s="12">
        <v>6</v>
      </c>
      <c r="H14" s="12">
        <v>7</v>
      </c>
      <c r="I14" s="12">
        <v>8</v>
      </c>
      <c r="J14" s="12">
        <v>9</v>
      </c>
      <c r="K14" s="12">
        <v>10</v>
      </c>
      <c r="L14" s="12">
        <v>11</v>
      </c>
      <c r="M14" s="12">
        <v>12</v>
      </c>
    </row>
    <row r="15" spans="1:27" ht="16" x14ac:dyDescent="0.2">
      <c r="A15" s="13" t="s">
        <v>24</v>
      </c>
      <c r="B15" s="35" t="s">
        <v>173</v>
      </c>
      <c r="C15" s="35" t="s">
        <v>174</v>
      </c>
      <c r="D15" s="35" t="s">
        <v>175</v>
      </c>
      <c r="E15" s="35" t="s">
        <v>176</v>
      </c>
      <c r="F15" s="35" t="s">
        <v>177</v>
      </c>
      <c r="G15" s="35" t="s">
        <v>178</v>
      </c>
      <c r="H15" s="35" t="s">
        <v>179</v>
      </c>
      <c r="I15" s="36" t="s">
        <v>180</v>
      </c>
      <c r="J15" s="35" t="s">
        <v>181</v>
      </c>
      <c r="K15" s="35" t="s">
        <v>182</v>
      </c>
      <c r="L15" s="35" t="s">
        <v>183</v>
      </c>
      <c r="M15" s="35" t="s">
        <v>184</v>
      </c>
    </row>
    <row r="16" spans="1:27" ht="16" x14ac:dyDescent="0.2">
      <c r="A16" s="13" t="s">
        <v>25</v>
      </c>
      <c r="B16" s="35" t="s">
        <v>185</v>
      </c>
      <c r="C16" s="35" t="s">
        <v>186</v>
      </c>
      <c r="D16" s="35" t="s">
        <v>187</v>
      </c>
      <c r="E16" s="35" t="s">
        <v>188</v>
      </c>
      <c r="F16" s="35" t="s">
        <v>189</v>
      </c>
      <c r="G16" s="36" t="s">
        <v>190</v>
      </c>
      <c r="H16" s="35" t="s">
        <v>191</v>
      </c>
      <c r="I16" s="35" t="s">
        <v>192</v>
      </c>
      <c r="J16" s="35" t="s">
        <v>193</v>
      </c>
      <c r="K16" s="35" t="s">
        <v>194</v>
      </c>
      <c r="L16" s="35" t="s">
        <v>195</v>
      </c>
      <c r="M16" s="35" t="s">
        <v>196</v>
      </c>
    </row>
    <row r="17" spans="1:13" ht="16" x14ac:dyDescent="0.2">
      <c r="A17" s="13" t="s">
        <v>26</v>
      </c>
      <c r="B17" s="35" t="s">
        <v>197</v>
      </c>
      <c r="C17" s="35" t="s">
        <v>198</v>
      </c>
      <c r="D17" s="35" t="s">
        <v>199</v>
      </c>
      <c r="E17" s="35" t="s">
        <v>200</v>
      </c>
      <c r="F17" s="35" t="s">
        <v>201</v>
      </c>
      <c r="G17" s="35" t="s">
        <v>202</v>
      </c>
      <c r="H17" s="35" t="s">
        <v>203</v>
      </c>
      <c r="I17" s="35" t="s">
        <v>204</v>
      </c>
      <c r="J17" s="35" t="s">
        <v>205</v>
      </c>
      <c r="K17" s="35" t="s">
        <v>206</v>
      </c>
      <c r="L17" s="35" t="s">
        <v>207</v>
      </c>
      <c r="M17" s="35" t="s">
        <v>208</v>
      </c>
    </row>
    <row r="18" spans="1:13" ht="16" x14ac:dyDescent="0.2">
      <c r="A18" s="13" t="s">
        <v>27</v>
      </c>
      <c r="B18" s="35" t="s">
        <v>209</v>
      </c>
      <c r="C18" s="35" t="s">
        <v>210</v>
      </c>
      <c r="D18" s="35" t="s">
        <v>211</v>
      </c>
      <c r="E18" s="35" t="s">
        <v>212</v>
      </c>
      <c r="F18" s="35" t="s">
        <v>213</v>
      </c>
      <c r="G18" s="35" t="s">
        <v>214</v>
      </c>
      <c r="H18" s="35" t="s">
        <v>215</v>
      </c>
      <c r="I18" s="35" t="s">
        <v>216</v>
      </c>
      <c r="J18" s="35" t="s">
        <v>217</v>
      </c>
      <c r="K18" s="35" t="s">
        <v>218</v>
      </c>
      <c r="L18" s="35" t="s">
        <v>219</v>
      </c>
      <c r="M18" s="35" t="s">
        <v>220</v>
      </c>
    </row>
    <row r="19" spans="1:13" ht="16" x14ac:dyDescent="0.2">
      <c r="A19" s="13" t="s">
        <v>28</v>
      </c>
      <c r="B19" s="35" t="s">
        <v>221</v>
      </c>
      <c r="C19" s="35" t="s">
        <v>222</v>
      </c>
      <c r="D19" s="36" t="s">
        <v>223</v>
      </c>
      <c r="E19" s="35" t="s">
        <v>224</v>
      </c>
      <c r="F19" s="35" t="s">
        <v>225</v>
      </c>
      <c r="G19" s="35" t="s">
        <v>226</v>
      </c>
      <c r="H19" s="35" t="s">
        <v>227</v>
      </c>
      <c r="I19" s="35" t="s">
        <v>228</v>
      </c>
      <c r="J19" s="35" t="s">
        <v>229</v>
      </c>
      <c r="K19" s="35" t="s">
        <v>230</v>
      </c>
      <c r="L19" s="35" t="s">
        <v>231</v>
      </c>
      <c r="M19" s="35" t="s">
        <v>232</v>
      </c>
    </row>
    <row r="20" spans="1:13" ht="16" x14ac:dyDescent="0.2">
      <c r="A20" s="13" t="s">
        <v>29</v>
      </c>
      <c r="B20" s="35" t="s">
        <v>233</v>
      </c>
      <c r="C20" s="35" t="s">
        <v>234</v>
      </c>
      <c r="D20" s="35" t="s">
        <v>235</v>
      </c>
      <c r="E20" s="35" t="s">
        <v>236</v>
      </c>
      <c r="F20" s="35" t="s">
        <v>237</v>
      </c>
      <c r="G20" s="35" t="s">
        <v>238</v>
      </c>
      <c r="H20" s="35" t="s">
        <v>239</v>
      </c>
      <c r="I20" s="35" t="s">
        <v>240</v>
      </c>
      <c r="J20" s="35" t="s">
        <v>241</v>
      </c>
      <c r="K20" s="35" t="s">
        <v>242</v>
      </c>
      <c r="L20" s="35" t="s">
        <v>243</v>
      </c>
      <c r="M20" s="35" t="s">
        <v>244</v>
      </c>
    </row>
    <row r="21" spans="1:13" ht="16" x14ac:dyDescent="0.2">
      <c r="A21" s="13" t="s">
        <v>30</v>
      </c>
      <c r="B21" s="35" t="s">
        <v>245</v>
      </c>
      <c r="C21" s="35" t="s">
        <v>246</v>
      </c>
      <c r="D21" s="35" t="s">
        <v>247</v>
      </c>
      <c r="E21" s="35" t="s">
        <v>248</v>
      </c>
      <c r="F21" s="35" t="s">
        <v>249</v>
      </c>
      <c r="G21" s="35" t="s">
        <v>250</v>
      </c>
      <c r="H21" s="35" t="s">
        <v>251</v>
      </c>
      <c r="I21" s="35" t="s">
        <v>252</v>
      </c>
      <c r="J21" s="35" t="s">
        <v>253</v>
      </c>
      <c r="K21" s="35"/>
      <c r="L21" s="35"/>
      <c r="M21" s="35"/>
    </row>
    <row r="22" spans="1:13" ht="16" x14ac:dyDescent="0.2">
      <c r="A22" s="13" t="s">
        <v>31</v>
      </c>
      <c r="B22" s="35" t="s">
        <v>254</v>
      </c>
      <c r="C22" s="35" t="s">
        <v>255</v>
      </c>
      <c r="D22" s="35" t="s">
        <v>256</v>
      </c>
      <c r="E22" s="35" t="s">
        <v>257</v>
      </c>
      <c r="F22" s="35" t="s">
        <v>258</v>
      </c>
      <c r="G22" s="35" t="s">
        <v>259</v>
      </c>
      <c r="H22" s="35" t="s">
        <v>260</v>
      </c>
      <c r="I22" s="35" t="s">
        <v>261</v>
      </c>
      <c r="J22" s="35" t="s">
        <v>262</v>
      </c>
      <c r="K22" s="35" t="s">
        <v>263</v>
      </c>
      <c r="L22" s="35" t="s">
        <v>264</v>
      </c>
      <c r="M22" s="35" t="s">
        <v>265</v>
      </c>
    </row>
    <row r="24" spans="1:13" ht="19" x14ac:dyDescent="0.25">
      <c r="A24" s="34" t="s">
        <v>98</v>
      </c>
    </row>
    <row r="25" spans="1:13" x14ac:dyDescent="0.2">
      <c r="A25" s="13"/>
      <c r="B25" s="12">
        <v>1</v>
      </c>
      <c r="C25" s="12">
        <v>2</v>
      </c>
      <c r="D25" s="12">
        <v>3</v>
      </c>
      <c r="E25" s="12">
        <v>4</v>
      </c>
      <c r="F25" s="12">
        <v>5</v>
      </c>
      <c r="G25" s="12">
        <v>6</v>
      </c>
      <c r="H25" s="12">
        <v>7</v>
      </c>
      <c r="I25" s="12">
        <v>8</v>
      </c>
      <c r="J25" s="12">
        <v>9</v>
      </c>
      <c r="K25" s="12">
        <v>10</v>
      </c>
      <c r="L25" s="12">
        <v>11</v>
      </c>
      <c r="M25" s="12">
        <v>12</v>
      </c>
    </row>
    <row r="26" spans="1:13" x14ac:dyDescent="0.2">
      <c r="A26" s="13" t="s">
        <v>24</v>
      </c>
      <c r="B26" s="37" t="s">
        <v>266</v>
      </c>
      <c r="C26" s="37" t="s">
        <v>267</v>
      </c>
      <c r="D26" s="37" t="s">
        <v>268</v>
      </c>
      <c r="E26" s="37" t="s">
        <v>269</v>
      </c>
      <c r="F26" s="37" t="s">
        <v>270</v>
      </c>
      <c r="G26" s="37" t="s">
        <v>271</v>
      </c>
      <c r="H26" s="37" t="s">
        <v>272</v>
      </c>
      <c r="I26" s="38" t="s">
        <v>273</v>
      </c>
      <c r="J26" s="37" t="s">
        <v>274</v>
      </c>
      <c r="K26" s="37" t="s">
        <v>275</v>
      </c>
      <c r="L26" s="37" t="s">
        <v>276</v>
      </c>
      <c r="M26" s="37" t="s">
        <v>277</v>
      </c>
    </row>
    <row r="27" spans="1:13" x14ac:dyDescent="0.2">
      <c r="A27" s="13" t="s">
        <v>25</v>
      </c>
      <c r="B27" s="37" t="s">
        <v>278</v>
      </c>
      <c r="C27" s="37" t="s">
        <v>279</v>
      </c>
      <c r="D27" s="37" t="s">
        <v>280</v>
      </c>
      <c r="E27" s="37" t="s">
        <v>281</v>
      </c>
      <c r="F27" s="37" t="s">
        <v>282</v>
      </c>
      <c r="G27" s="37" t="s">
        <v>283</v>
      </c>
      <c r="H27" s="37" t="s">
        <v>284</v>
      </c>
      <c r="I27" s="37" t="s">
        <v>285</v>
      </c>
      <c r="J27" s="37" t="s">
        <v>286</v>
      </c>
      <c r="K27" s="37" t="s">
        <v>287</v>
      </c>
      <c r="L27" s="37" t="s">
        <v>288</v>
      </c>
      <c r="M27" s="37" t="s">
        <v>289</v>
      </c>
    </row>
    <row r="28" spans="1:13" x14ac:dyDescent="0.2">
      <c r="A28" s="13" t="s">
        <v>26</v>
      </c>
      <c r="B28" s="37" t="s">
        <v>290</v>
      </c>
      <c r="C28" s="37" t="s">
        <v>291</v>
      </c>
      <c r="D28" s="37" t="s">
        <v>292</v>
      </c>
      <c r="E28" s="37" t="s">
        <v>293</v>
      </c>
      <c r="F28" s="37" t="s">
        <v>294</v>
      </c>
      <c r="G28" s="37" t="s">
        <v>295</v>
      </c>
      <c r="H28" s="37" t="s">
        <v>296</v>
      </c>
      <c r="I28" s="37" t="s">
        <v>297</v>
      </c>
      <c r="J28" s="37" t="s">
        <v>298</v>
      </c>
      <c r="K28" s="37" t="s">
        <v>299</v>
      </c>
      <c r="L28" s="37" t="s">
        <v>300</v>
      </c>
      <c r="M28" s="37" t="s">
        <v>301</v>
      </c>
    </row>
    <row r="29" spans="1:13" x14ac:dyDescent="0.2">
      <c r="A29" s="13" t="s">
        <v>27</v>
      </c>
      <c r="B29" s="38" t="s">
        <v>302</v>
      </c>
      <c r="C29" s="37" t="s">
        <v>303</v>
      </c>
      <c r="D29" s="37" t="s">
        <v>304</v>
      </c>
      <c r="E29" s="37" t="s">
        <v>305</v>
      </c>
      <c r="F29" s="37" t="s">
        <v>306</v>
      </c>
      <c r="G29" s="37" t="s">
        <v>307</v>
      </c>
      <c r="H29" s="37" t="s">
        <v>308</v>
      </c>
      <c r="I29" s="37" t="s">
        <v>309</v>
      </c>
      <c r="J29" s="37" t="s">
        <v>310</v>
      </c>
      <c r="K29" s="37" t="s">
        <v>311</v>
      </c>
      <c r="L29" s="37" t="s">
        <v>312</v>
      </c>
      <c r="M29" s="37" t="s">
        <v>313</v>
      </c>
    </row>
    <row r="30" spans="1:13" x14ac:dyDescent="0.2">
      <c r="A30" s="13" t="s">
        <v>28</v>
      </c>
      <c r="B30" s="37" t="s">
        <v>314</v>
      </c>
      <c r="C30" s="37" t="s">
        <v>315</v>
      </c>
      <c r="D30" s="37" t="s">
        <v>316</v>
      </c>
      <c r="E30" s="38" t="s">
        <v>317</v>
      </c>
      <c r="F30" s="37" t="s">
        <v>318</v>
      </c>
      <c r="G30" s="37" t="s">
        <v>319</v>
      </c>
      <c r="H30" s="37" t="s">
        <v>320</v>
      </c>
      <c r="I30" s="37" t="s">
        <v>321</v>
      </c>
      <c r="J30" s="37" t="s">
        <v>322</v>
      </c>
      <c r="K30" s="37" t="s">
        <v>323</v>
      </c>
      <c r="L30" s="37" t="s">
        <v>324</v>
      </c>
      <c r="M30" s="37" t="s">
        <v>325</v>
      </c>
    </row>
    <row r="31" spans="1:13" x14ac:dyDescent="0.2">
      <c r="A31" s="13" t="s">
        <v>29</v>
      </c>
      <c r="B31" s="37" t="s">
        <v>326</v>
      </c>
      <c r="C31" s="37" t="s">
        <v>327</v>
      </c>
      <c r="D31" s="37" t="s">
        <v>328</v>
      </c>
      <c r="E31" s="38" t="s">
        <v>329</v>
      </c>
      <c r="F31" s="38" t="s">
        <v>330</v>
      </c>
      <c r="G31" s="37" t="s">
        <v>331</v>
      </c>
      <c r="H31" s="37" t="s">
        <v>332</v>
      </c>
      <c r="I31" s="37" t="s">
        <v>333</v>
      </c>
      <c r="J31" s="37" t="s">
        <v>334</v>
      </c>
      <c r="K31" s="37" t="s">
        <v>335</v>
      </c>
      <c r="L31" s="37" t="s">
        <v>336</v>
      </c>
      <c r="M31" s="37" t="s">
        <v>337</v>
      </c>
    </row>
    <row r="32" spans="1:13" x14ac:dyDescent="0.2">
      <c r="A32" s="13" t="s">
        <v>30</v>
      </c>
      <c r="B32" s="37" t="s">
        <v>338</v>
      </c>
      <c r="C32" s="37" t="s">
        <v>339</v>
      </c>
      <c r="D32" s="37" t="s">
        <v>340</v>
      </c>
      <c r="E32" s="37" t="s">
        <v>341</v>
      </c>
      <c r="F32" s="37" t="s">
        <v>342</v>
      </c>
      <c r="G32" s="37" t="s">
        <v>343</v>
      </c>
      <c r="H32" s="37" t="s">
        <v>344</v>
      </c>
      <c r="I32" s="37" t="s">
        <v>345</v>
      </c>
      <c r="J32" s="37" t="s">
        <v>346</v>
      </c>
      <c r="K32" s="37" t="s">
        <v>347</v>
      </c>
      <c r="L32" s="37" t="s">
        <v>348</v>
      </c>
      <c r="M32" s="37" t="s">
        <v>349</v>
      </c>
    </row>
    <row r="33" spans="1:13" ht="16" x14ac:dyDescent="0.2">
      <c r="A33" s="13" t="s">
        <v>31</v>
      </c>
      <c r="B33" s="37" t="s">
        <v>350</v>
      </c>
      <c r="C33" s="37" t="s">
        <v>351</v>
      </c>
      <c r="D33" s="37" t="s">
        <v>352</v>
      </c>
      <c r="E33" s="37"/>
      <c r="F33" s="37"/>
      <c r="G33" s="37"/>
      <c r="H33" s="35"/>
      <c r="I33" s="35"/>
      <c r="J33" s="35"/>
      <c r="K33" s="35"/>
      <c r="L33" s="35"/>
      <c r="M33" s="35"/>
    </row>
    <row r="35" spans="1:13" ht="19" x14ac:dyDescent="0.25">
      <c r="A35" s="46" t="s">
        <v>111</v>
      </c>
    </row>
    <row r="36" spans="1:13" x14ac:dyDescent="0.2">
      <c r="A36" s="13"/>
      <c r="B36" s="12">
        <v>1</v>
      </c>
      <c r="C36" s="12">
        <v>2</v>
      </c>
      <c r="D36" s="12">
        <v>3</v>
      </c>
      <c r="E36" s="12">
        <v>4</v>
      </c>
      <c r="F36" s="12">
        <v>5</v>
      </c>
      <c r="G36" s="12">
        <v>6</v>
      </c>
      <c r="H36" s="12">
        <v>7</v>
      </c>
      <c r="I36" s="12">
        <v>8</v>
      </c>
      <c r="J36" s="12">
        <v>9</v>
      </c>
      <c r="K36" s="12">
        <v>10</v>
      </c>
      <c r="L36" s="12">
        <v>11</v>
      </c>
      <c r="M36" s="12">
        <v>12</v>
      </c>
    </row>
    <row r="37" spans="1:13" ht="16" x14ac:dyDescent="0.2">
      <c r="A37" s="13" t="s">
        <v>24</v>
      </c>
      <c r="B37" s="35" t="s">
        <v>353</v>
      </c>
      <c r="C37" s="35" t="s">
        <v>353</v>
      </c>
      <c r="D37" s="35" t="s">
        <v>353</v>
      </c>
      <c r="E37" s="35" t="s">
        <v>353</v>
      </c>
      <c r="F37" s="35" t="s">
        <v>353</v>
      </c>
      <c r="G37" s="35" t="s">
        <v>353</v>
      </c>
      <c r="H37" s="35" t="s">
        <v>353</v>
      </c>
      <c r="I37" s="35" t="s">
        <v>353</v>
      </c>
      <c r="J37" s="35" t="s">
        <v>353</v>
      </c>
      <c r="K37" s="35" t="s">
        <v>353</v>
      </c>
      <c r="L37" s="35" t="s">
        <v>353</v>
      </c>
      <c r="M37" s="35" t="s">
        <v>353</v>
      </c>
    </row>
    <row r="38" spans="1:13" ht="16" x14ac:dyDescent="0.2">
      <c r="A38" s="13" t="s">
        <v>25</v>
      </c>
      <c r="B38" s="35" t="s">
        <v>353</v>
      </c>
      <c r="C38" s="35" t="s">
        <v>353</v>
      </c>
      <c r="D38" s="35" t="s">
        <v>353</v>
      </c>
      <c r="E38" s="35" t="s">
        <v>353</v>
      </c>
      <c r="F38" s="35" t="s">
        <v>353</v>
      </c>
      <c r="G38" s="35" t="s">
        <v>353</v>
      </c>
      <c r="H38" s="35" t="s">
        <v>353</v>
      </c>
      <c r="I38" s="35" t="s">
        <v>353</v>
      </c>
      <c r="J38" s="35" t="s">
        <v>353</v>
      </c>
      <c r="K38" s="35" t="s">
        <v>353</v>
      </c>
      <c r="L38" s="35" t="s">
        <v>353</v>
      </c>
      <c r="M38" s="35" t="s">
        <v>353</v>
      </c>
    </row>
    <row r="39" spans="1:13" ht="16" x14ac:dyDescent="0.2">
      <c r="A39" s="13" t="s">
        <v>26</v>
      </c>
      <c r="B39" s="40" t="s">
        <v>353</v>
      </c>
      <c r="C39" s="41" t="s">
        <v>353</v>
      </c>
      <c r="D39" s="41" t="s">
        <v>353</v>
      </c>
      <c r="E39" s="41" t="s">
        <v>354</v>
      </c>
      <c r="F39" s="41" t="s">
        <v>355</v>
      </c>
      <c r="G39" s="41"/>
      <c r="H39" s="41"/>
      <c r="I39" s="37"/>
      <c r="J39" s="37"/>
      <c r="K39" s="37"/>
      <c r="L39" s="37"/>
      <c r="M39" s="37"/>
    </row>
    <row r="40" spans="1:13" ht="16" x14ac:dyDescent="0.2">
      <c r="A40" s="13" t="s">
        <v>27</v>
      </c>
      <c r="B40" s="35" t="s">
        <v>356</v>
      </c>
      <c r="C40" s="35" t="s">
        <v>356</v>
      </c>
      <c r="D40" s="35" t="s">
        <v>356</v>
      </c>
      <c r="E40" s="35" t="s">
        <v>356</v>
      </c>
      <c r="F40" s="35" t="s">
        <v>356</v>
      </c>
      <c r="G40" s="35" t="s">
        <v>356</v>
      </c>
      <c r="H40" s="35" t="s">
        <v>356</v>
      </c>
      <c r="I40" s="35" t="s">
        <v>356</v>
      </c>
      <c r="J40" s="35" t="s">
        <v>356</v>
      </c>
      <c r="K40" s="35" t="s">
        <v>356</v>
      </c>
      <c r="L40" s="35" t="s">
        <v>356</v>
      </c>
      <c r="M40" s="35" t="s">
        <v>356</v>
      </c>
    </row>
    <row r="41" spans="1:13" ht="16" x14ac:dyDescent="0.2">
      <c r="A41" s="13" t="s">
        <v>28</v>
      </c>
      <c r="B41" s="35" t="s">
        <v>356</v>
      </c>
      <c r="C41" s="35" t="s">
        <v>356</v>
      </c>
      <c r="D41" s="35" t="s">
        <v>356</v>
      </c>
      <c r="E41" s="36" t="s">
        <v>356</v>
      </c>
      <c r="F41" s="35" t="s">
        <v>356</v>
      </c>
      <c r="G41" s="35" t="s">
        <v>356</v>
      </c>
      <c r="H41" s="37"/>
      <c r="I41" s="37"/>
      <c r="J41" s="37"/>
      <c r="K41" s="37"/>
      <c r="L41" s="37"/>
      <c r="M41" s="37"/>
    </row>
    <row r="42" spans="1:13" ht="16" x14ac:dyDescent="0.2">
      <c r="A42" s="13" t="s">
        <v>29</v>
      </c>
      <c r="B42" s="35" t="s">
        <v>357</v>
      </c>
      <c r="C42" s="35" t="s">
        <v>357</v>
      </c>
      <c r="D42" s="35" t="s">
        <v>357</v>
      </c>
      <c r="E42" s="35" t="s">
        <v>357</v>
      </c>
      <c r="F42" s="35" t="s">
        <v>357</v>
      </c>
      <c r="G42" s="35" t="s">
        <v>358</v>
      </c>
      <c r="H42" s="35" t="s">
        <v>358</v>
      </c>
      <c r="I42" s="35" t="s">
        <v>358</v>
      </c>
      <c r="J42" s="35" t="s">
        <v>358</v>
      </c>
      <c r="K42" s="35" t="s">
        <v>358</v>
      </c>
      <c r="L42" s="35" t="s">
        <v>358</v>
      </c>
      <c r="M42" s="35" t="s">
        <v>358</v>
      </c>
    </row>
    <row r="43" spans="1:13" ht="16" x14ac:dyDescent="0.2">
      <c r="A43" s="13" t="s">
        <v>30</v>
      </c>
      <c r="B43" s="35" t="s">
        <v>358</v>
      </c>
      <c r="C43" s="35" t="s">
        <v>358</v>
      </c>
      <c r="D43" s="35" t="s">
        <v>358</v>
      </c>
      <c r="E43" s="35" t="s">
        <v>358</v>
      </c>
      <c r="F43" s="35" t="s">
        <v>358</v>
      </c>
      <c r="G43" s="37"/>
      <c r="H43" s="37"/>
      <c r="I43" s="37"/>
      <c r="J43" s="37"/>
      <c r="K43" s="37"/>
      <c r="L43" s="37"/>
      <c r="M43" s="37"/>
    </row>
    <row r="44" spans="1:13" ht="16" x14ac:dyDescent="0.2">
      <c r="A44" s="13" t="s">
        <v>31</v>
      </c>
      <c r="B44" s="37"/>
      <c r="C44" s="37"/>
      <c r="D44" s="37"/>
      <c r="E44" s="37"/>
      <c r="F44" s="37"/>
      <c r="G44" s="37"/>
      <c r="H44" s="35"/>
      <c r="I44" s="35"/>
      <c r="J44" s="35"/>
      <c r="K44" s="35"/>
      <c r="L44" s="35"/>
      <c r="M44" s="35"/>
    </row>
    <row r="46" spans="1:13" ht="19" x14ac:dyDescent="0.25">
      <c r="A46" s="34" t="s">
        <v>75</v>
      </c>
    </row>
    <row r="47" spans="1:13" x14ac:dyDescent="0.2">
      <c r="A47" s="13"/>
      <c r="B47" s="12">
        <v>1</v>
      </c>
      <c r="C47" s="12">
        <v>2</v>
      </c>
      <c r="D47" s="12">
        <v>3</v>
      </c>
      <c r="E47" s="12">
        <v>4</v>
      </c>
      <c r="F47" s="12">
        <v>5</v>
      </c>
      <c r="G47" s="12">
        <v>6</v>
      </c>
      <c r="H47" s="12">
        <v>7</v>
      </c>
      <c r="I47" s="12">
        <v>8</v>
      </c>
      <c r="J47" s="12">
        <v>9</v>
      </c>
      <c r="K47" s="12">
        <v>10</v>
      </c>
      <c r="L47" s="12">
        <v>11</v>
      </c>
      <c r="M47" s="12">
        <v>12</v>
      </c>
    </row>
    <row r="48" spans="1:13" ht="16" x14ac:dyDescent="0.2">
      <c r="A48" s="13" t="s">
        <v>24</v>
      </c>
      <c r="B48" s="35" t="s">
        <v>359</v>
      </c>
      <c r="C48" s="35" t="s">
        <v>360</v>
      </c>
      <c r="D48" s="35" t="s">
        <v>361</v>
      </c>
      <c r="E48" s="35" t="s">
        <v>362</v>
      </c>
      <c r="F48" s="35" t="s">
        <v>363</v>
      </c>
      <c r="G48" s="35" t="s">
        <v>364</v>
      </c>
      <c r="H48" s="35" t="s">
        <v>365</v>
      </c>
      <c r="I48" s="35"/>
      <c r="J48" s="35"/>
      <c r="K48" s="35"/>
      <c r="L48" s="35"/>
      <c r="M48" s="35"/>
    </row>
    <row r="49" spans="1:13" ht="16" x14ac:dyDescent="0.2">
      <c r="A49" s="13" t="s">
        <v>25</v>
      </c>
      <c r="B49" s="36" t="s">
        <v>366</v>
      </c>
      <c r="C49" s="35" t="s">
        <v>367</v>
      </c>
      <c r="D49" s="35" t="s">
        <v>368</v>
      </c>
      <c r="E49" s="35" t="s">
        <v>369</v>
      </c>
      <c r="F49" s="35" t="s">
        <v>370</v>
      </c>
      <c r="G49" s="35" t="s">
        <v>371</v>
      </c>
      <c r="H49" s="35" t="s">
        <v>372</v>
      </c>
      <c r="I49" s="36" t="s">
        <v>373</v>
      </c>
      <c r="J49" s="35" t="s">
        <v>374</v>
      </c>
      <c r="K49" s="35" t="s">
        <v>375</v>
      </c>
      <c r="L49" s="35" t="s">
        <v>376</v>
      </c>
      <c r="M49" s="35" t="s">
        <v>377</v>
      </c>
    </row>
    <row r="50" spans="1:13" ht="16" x14ac:dyDescent="0.2">
      <c r="A50" s="13" t="s">
        <v>26</v>
      </c>
      <c r="B50" s="35" t="s">
        <v>378</v>
      </c>
      <c r="C50" s="35" t="s">
        <v>379</v>
      </c>
      <c r="D50" s="35" t="s">
        <v>380</v>
      </c>
      <c r="E50" s="35" t="s">
        <v>381</v>
      </c>
      <c r="F50" s="35" t="s">
        <v>382</v>
      </c>
      <c r="G50" s="35" t="s">
        <v>383</v>
      </c>
      <c r="H50" s="35" t="s">
        <v>384</v>
      </c>
      <c r="I50" s="36" t="s">
        <v>385</v>
      </c>
      <c r="J50" s="35" t="s">
        <v>386</v>
      </c>
      <c r="K50" s="35" t="s">
        <v>387</v>
      </c>
      <c r="L50" s="35" t="s">
        <v>388</v>
      </c>
      <c r="M50" s="35" t="s">
        <v>389</v>
      </c>
    </row>
    <row r="51" spans="1:13" ht="16" x14ac:dyDescent="0.2">
      <c r="A51" s="13" t="s">
        <v>27</v>
      </c>
      <c r="B51" s="35" t="s">
        <v>390</v>
      </c>
      <c r="C51" s="35" t="s">
        <v>391</v>
      </c>
      <c r="D51" s="35" t="s">
        <v>392</v>
      </c>
      <c r="E51" s="36" t="s">
        <v>393</v>
      </c>
      <c r="F51" s="35" t="s">
        <v>394</v>
      </c>
      <c r="G51" s="35" t="s">
        <v>395</v>
      </c>
      <c r="H51" s="35" t="s">
        <v>396</v>
      </c>
      <c r="I51" s="35" t="s">
        <v>397</v>
      </c>
      <c r="J51" s="35" t="s">
        <v>398</v>
      </c>
      <c r="K51" s="36" t="s">
        <v>399</v>
      </c>
      <c r="L51" s="35" t="s">
        <v>400</v>
      </c>
      <c r="M51" s="36" t="s">
        <v>401</v>
      </c>
    </row>
    <row r="52" spans="1:13" ht="16" x14ac:dyDescent="0.2">
      <c r="A52" s="13" t="s">
        <v>28</v>
      </c>
      <c r="B52" s="36" t="s">
        <v>402</v>
      </c>
      <c r="C52" s="35" t="s">
        <v>403</v>
      </c>
      <c r="D52" s="35"/>
      <c r="E52" s="35"/>
      <c r="F52" s="35"/>
      <c r="G52" s="35"/>
      <c r="H52" s="37"/>
      <c r="I52" s="37"/>
      <c r="J52" s="37"/>
      <c r="K52" s="37"/>
      <c r="L52" s="37"/>
      <c r="M52" s="37"/>
    </row>
    <row r="53" spans="1:13" ht="16" x14ac:dyDescent="0.2">
      <c r="A53" s="13" t="s">
        <v>29</v>
      </c>
      <c r="B53" s="35" t="s">
        <v>404</v>
      </c>
      <c r="C53" s="35" t="s">
        <v>405</v>
      </c>
      <c r="D53" s="35" t="s">
        <v>406</v>
      </c>
      <c r="E53" s="35" t="s">
        <v>407</v>
      </c>
      <c r="F53" s="35" t="s">
        <v>408</v>
      </c>
      <c r="G53" s="35" t="s">
        <v>409</v>
      </c>
      <c r="H53" s="35" t="s">
        <v>410</v>
      </c>
      <c r="I53" s="35" t="s">
        <v>411</v>
      </c>
      <c r="J53" s="35" t="s">
        <v>412</v>
      </c>
      <c r="K53" s="35" t="s">
        <v>413</v>
      </c>
      <c r="L53" s="35"/>
      <c r="M53" s="35"/>
    </row>
    <row r="54" spans="1:13" ht="16" x14ac:dyDescent="0.2">
      <c r="A54" s="13" t="s">
        <v>30</v>
      </c>
      <c r="B54" s="36" t="s">
        <v>414</v>
      </c>
      <c r="C54" s="36" t="s">
        <v>415</v>
      </c>
      <c r="D54" s="35" t="s">
        <v>416</v>
      </c>
      <c r="E54" s="35" t="s">
        <v>417</v>
      </c>
      <c r="F54" s="35" t="s">
        <v>418</v>
      </c>
      <c r="G54" s="35" t="s">
        <v>419</v>
      </c>
      <c r="H54" s="37"/>
      <c r="I54" s="37"/>
      <c r="J54" s="37"/>
      <c r="K54" s="37"/>
      <c r="L54" s="37"/>
      <c r="M54" s="37"/>
    </row>
    <row r="55" spans="1:13" ht="16" x14ac:dyDescent="0.2">
      <c r="A55" s="13" t="s">
        <v>31</v>
      </c>
      <c r="B55" s="35" t="s">
        <v>420</v>
      </c>
      <c r="C55" s="36" t="s">
        <v>421</v>
      </c>
      <c r="D55" s="36" t="s">
        <v>422</v>
      </c>
      <c r="E55" s="35" t="s">
        <v>423</v>
      </c>
      <c r="F55" s="35" t="s">
        <v>424</v>
      </c>
      <c r="G55" s="35" t="s">
        <v>425</v>
      </c>
      <c r="H55" s="35" t="s">
        <v>426</v>
      </c>
      <c r="I55" s="35" t="s">
        <v>427</v>
      </c>
      <c r="J55" s="36" t="s">
        <v>428</v>
      </c>
      <c r="K55" s="35" t="s">
        <v>429</v>
      </c>
      <c r="L55" s="35" t="s">
        <v>430</v>
      </c>
      <c r="M55" s="35"/>
    </row>
    <row r="57" spans="1:13" ht="19" x14ac:dyDescent="0.25">
      <c r="A57" s="34" t="s">
        <v>91</v>
      </c>
    </row>
    <row r="58" spans="1:13" x14ac:dyDescent="0.2">
      <c r="A58" s="13"/>
      <c r="B58" s="12">
        <v>1</v>
      </c>
      <c r="C58" s="12">
        <v>2</v>
      </c>
      <c r="D58" s="12">
        <v>3</v>
      </c>
      <c r="E58" s="12">
        <v>4</v>
      </c>
      <c r="F58" s="12">
        <v>5</v>
      </c>
      <c r="G58" s="12">
        <v>6</v>
      </c>
      <c r="H58" s="12">
        <v>7</v>
      </c>
      <c r="I58" s="12">
        <v>8</v>
      </c>
      <c r="J58" s="12">
        <v>9</v>
      </c>
      <c r="K58" s="12">
        <v>10</v>
      </c>
      <c r="L58" s="12">
        <v>11</v>
      </c>
      <c r="M58" s="12">
        <v>12</v>
      </c>
    </row>
    <row r="59" spans="1:13" x14ac:dyDescent="0.2">
      <c r="A59" s="13" t="s">
        <v>24</v>
      </c>
      <c r="B59" s="42" t="s">
        <v>432</v>
      </c>
      <c r="C59" s="42" t="s">
        <v>433</v>
      </c>
      <c r="D59" s="42" t="s">
        <v>434</v>
      </c>
      <c r="E59" s="42" t="s">
        <v>435</v>
      </c>
      <c r="F59" s="42" t="s">
        <v>436</v>
      </c>
      <c r="G59" s="42" t="s">
        <v>437</v>
      </c>
      <c r="H59" s="42" t="s">
        <v>438</v>
      </c>
      <c r="I59" s="42" t="s">
        <v>439</v>
      </c>
      <c r="J59" s="42" t="s">
        <v>440</v>
      </c>
      <c r="K59" s="42" t="s">
        <v>441</v>
      </c>
      <c r="L59" s="42" t="s">
        <v>442</v>
      </c>
      <c r="M59" s="42" t="s">
        <v>443</v>
      </c>
    </row>
    <row r="60" spans="1:13" x14ac:dyDescent="0.2">
      <c r="A60" s="13" t="s">
        <v>25</v>
      </c>
      <c r="B60" s="42" t="s">
        <v>444</v>
      </c>
      <c r="C60" s="42" t="s">
        <v>445</v>
      </c>
      <c r="D60" s="42" t="s">
        <v>446</v>
      </c>
      <c r="E60" s="42" t="s">
        <v>447</v>
      </c>
      <c r="F60" s="42" t="s">
        <v>448</v>
      </c>
      <c r="G60" s="42" t="s">
        <v>449</v>
      </c>
      <c r="H60" s="42" t="s">
        <v>450</v>
      </c>
      <c r="I60" s="43" t="s">
        <v>451</v>
      </c>
      <c r="J60" s="42" t="s">
        <v>452</v>
      </c>
      <c r="K60" s="42" t="s">
        <v>453</v>
      </c>
      <c r="L60" s="42" t="s">
        <v>454</v>
      </c>
      <c r="M60" s="42" t="s">
        <v>455</v>
      </c>
    </row>
    <row r="61" spans="1:13" x14ac:dyDescent="0.2">
      <c r="A61" s="13" t="s">
        <v>26</v>
      </c>
      <c r="B61" s="42" t="s">
        <v>456</v>
      </c>
      <c r="C61" s="42" t="s">
        <v>457</v>
      </c>
      <c r="D61" s="42" t="s">
        <v>458</v>
      </c>
      <c r="E61" s="42" t="s">
        <v>459</v>
      </c>
      <c r="F61" s="42" t="s">
        <v>460</v>
      </c>
      <c r="G61" s="42" t="s">
        <v>461</v>
      </c>
      <c r="H61" s="42" t="s">
        <v>462</v>
      </c>
      <c r="I61" s="42" t="s">
        <v>463</v>
      </c>
      <c r="J61" s="42" t="s">
        <v>464</v>
      </c>
      <c r="K61" s="43" t="s">
        <v>465</v>
      </c>
      <c r="L61" s="42" t="s">
        <v>466</v>
      </c>
      <c r="M61" s="42" t="s">
        <v>467</v>
      </c>
    </row>
    <row r="62" spans="1:13" x14ac:dyDescent="0.2">
      <c r="A62" s="13" t="s">
        <v>27</v>
      </c>
      <c r="B62" s="42" t="s">
        <v>468</v>
      </c>
      <c r="C62" s="42" t="s">
        <v>469</v>
      </c>
      <c r="D62" s="42" t="s">
        <v>470</v>
      </c>
      <c r="E62" s="42" t="s">
        <v>471</v>
      </c>
      <c r="F62" s="42" t="s">
        <v>472</v>
      </c>
      <c r="G62" s="42" t="s">
        <v>473</v>
      </c>
      <c r="H62" s="42" t="s">
        <v>474</v>
      </c>
      <c r="I62" s="42" t="s">
        <v>475</v>
      </c>
      <c r="J62" s="42" t="s">
        <v>476</v>
      </c>
      <c r="K62" s="42" t="s">
        <v>477</v>
      </c>
      <c r="L62" s="42" t="s">
        <v>478</v>
      </c>
      <c r="M62" s="42" t="s">
        <v>479</v>
      </c>
    </row>
    <row r="63" spans="1:13" x14ac:dyDescent="0.2">
      <c r="A63" s="13" t="s">
        <v>28</v>
      </c>
      <c r="B63" s="42" t="s">
        <v>480</v>
      </c>
      <c r="C63" s="42" t="s">
        <v>481</v>
      </c>
      <c r="D63" s="42" t="s">
        <v>482</v>
      </c>
      <c r="E63" s="43" t="s">
        <v>483</v>
      </c>
      <c r="F63" s="42" t="s">
        <v>484</v>
      </c>
      <c r="G63" s="42" t="s">
        <v>485</v>
      </c>
      <c r="H63" s="42" t="s">
        <v>486</v>
      </c>
      <c r="I63" s="42" t="s">
        <v>487</v>
      </c>
      <c r="J63" s="42" t="s">
        <v>488</v>
      </c>
      <c r="K63" s="42" t="s">
        <v>489</v>
      </c>
      <c r="L63" s="42" t="s">
        <v>490</v>
      </c>
      <c r="M63" s="42" t="s">
        <v>491</v>
      </c>
    </row>
    <row r="64" spans="1:13" x14ac:dyDescent="0.2">
      <c r="A64" s="13" t="s">
        <v>29</v>
      </c>
      <c r="B64" s="42" t="s">
        <v>492</v>
      </c>
      <c r="C64" s="42" t="s">
        <v>493</v>
      </c>
      <c r="D64" s="43" t="s">
        <v>494</v>
      </c>
      <c r="E64" s="42" t="s">
        <v>495</v>
      </c>
      <c r="F64" s="43" t="s">
        <v>496</v>
      </c>
      <c r="G64" s="42" t="s">
        <v>497</v>
      </c>
      <c r="H64" s="43" t="s">
        <v>498</v>
      </c>
      <c r="I64" s="42" t="s">
        <v>499</v>
      </c>
      <c r="J64" s="42" t="s">
        <v>500</v>
      </c>
      <c r="K64" s="43" t="s">
        <v>501</v>
      </c>
      <c r="L64" s="42" t="s">
        <v>502</v>
      </c>
      <c r="M64" s="42" t="s">
        <v>503</v>
      </c>
    </row>
    <row r="65" spans="1:13" x14ac:dyDescent="0.2">
      <c r="A65" s="13" t="s">
        <v>30</v>
      </c>
      <c r="B65" s="42" t="s">
        <v>504</v>
      </c>
      <c r="C65" s="42" t="s">
        <v>505</v>
      </c>
      <c r="D65" s="42" t="s">
        <v>506</v>
      </c>
      <c r="E65" s="42" t="s">
        <v>507</v>
      </c>
      <c r="F65" s="42" t="s">
        <v>508</v>
      </c>
      <c r="G65" s="42" t="s">
        <v>509</v>
      </c>
      <c r="H65" s="42" t="s">
        <v>510</v>
      </c>
      <c r="I65" s="42" t="s">
        <v>511</v>
      </c>
      <c r="J65" s="42" t="s">
        <v>512</v>
      </c>
      <c r="K65" s="42" t="s">
        <v>513</v>
      </c>
      <c r="L65" s="42" t="s">
        <v>514</v>
      </c>
      <c r="M65" s="42" t="s">
        <v>515</v>
      </c>
    </row>
    <row r="66" spans="1:13" ht="16" x14ac:dyDescent="0.2">
      <c r="A66" s="13" t="s">
        <v>31</v>
      </c>
      <c r="B66" s="42" t="s">
        <v>516</v>
      </c>
      <c r="C66" s="43" t="s">
        <v>517</v>
      </c>
      <c r="D66" s="43" t="s">
        <v>518</v>
      </c>
      <c r="E66" s="42" t="s">
        <v>519</v>
      </c>
      <c r="F66" s="42" t="s">
        <v>520</v>
      </c>
      <c r="G66" s="42" t="s">
        <v>521</v>
      </c>
      <c r="H66" s="42" t="s">
        <v>522</v>
      </c>
      <c r="I66" s="42" t="s">
        <v>523</v>
      </c>
      <c r="J66" s="42" t="s">
        <v>352</v>
      </c>
      <c r="K66" s="35"/>
      <c r="L66" s="35"/>
      <c r="M66" s="35"/>
    </row>
    <row r="68" spans="1:13" ht="19" x14ac:dyDescent="0.25">
      <c r="A68" s="34" t="s">
        <v>91</v>
      </c>
    </row>
    <row r="69" spans="1:13" x14ac:dyDescent="0.2">
      <c r="A69" s="13"/>
      <c r="B69" s="12">
        <v>1</v>
      </c>
      <c r="C69" s="12">
        <v>2</v>
      </c>
      <c r="D69" s="12">
        <v>3</v>
      </c>
      <c r="E69" s="12">
        <v>4</v>
      </c>
      <c r="F69" s="12">
        <v>5</v>
      </c>
      <c r="G69" s="12">
        <v>6</v>
      </c>
      <c r="H69" s="12">
        <v>7</v>
      </c>
      <c r="I69" s="12">
        <v>8</v>
      </c>
      <c r="J69" s="12">
        <v>9</v>
      </c>
      <c r="K69" s="12">
        <v>10</v>
      </c>
      <c r="L69" s="12">
        <v>11</v>
      </c>
      <c r="M69" s="12">
        <v>12</v>
      </c>
    </row>
    <row r="70" spans="1:13" x14ac:dyDescent="0.2">
      <c r="A70" s="13" t="s">
        <v>24</v>
      </c>
      <c r="B70" s="45" t="s">
        <v>524</v>
      </c>
      <c r="C70" s="45" t="s">
        <v>525</v>
      </c>
      <c r="D70" s="45" t="s">
        <v>526</v>
      </c>
      <c r="E70" s="45" t="s">
        <v>527</v>
      </c>
      <c r="F70" s="45" t="s">
        <v>528</v>
      </c>
      <c r="G70" s="45" t="s">
        <v>73</v>
      </c>
      <c r="H70" s="45" t="s">
        <v>529</v>
      </c>
      <c r="I70" s="45" t="s">
        <v>88</v>
      </c>
      <c r="J70" s="44" t="s">
        <v>108</v>
      </c>
      <c r="K70" s="45" t="s">
        <v>530</v>
      </c>
      <c r="L70" s="45" t="s">
        <v>531</v>
      </c>
      <c r="M70" s="45" t="s">
        <v>532</v>
      </c>
    </row>
    <row r="71" spans="1:13" x14ac:dyDescent="0.2">
      <c r="A71" s="13" t="s">
        <v>25</v>
      </c>
      <c r="B71" s="45" t="s">
        <v>76</v>
      </c>
      <c r="C71" s="45" t="s">
        <v>533</v>
      </c>
      <c r="D71" s="45" t="s">
        <v>534</v>
      </c>
      <c r="E71" s="44" t="s">
        <v>109</v>
      </c>
      <c r="F71" s="45" t="s">
        <v>535</v>
      </c>
      <c r="G71" s="45" t="s">
        <v>89</v>
      </c>
      <c r="H71" s="45" t="s">
        <v>536</v>
      </c>
      <c r="I71" s="45" t="s">
        <v>77</v>
      </c>
      <c r="J71" s="45" t="s">
        <v>537</v>
      </c>
      <c r="K71" s="45" t="s">
        <v>538</v>
      </c>
      <c r="L71" s="45" t="s">
        <v>99</v>
      </c>
      <c r="M71" s="45" t="s">
        <v>539</v>
      </c>
    </row>
    <row r="72" spans="1:13" x14ac:dyDescent="0.2">
      <c r="A72" s="13" t="s">
        <v>26</v>
      </c>
      <c r="B72" s="45" t="s">
        <v>113</v>
      </c>
      <c r="C72" s="45" t="s">
        <v>540</v>
      </c>
      <c r="D72" s="45" t="s">
        <v>116</v>
      </c>
      <c r="E72" s="45" t="s">
        <v>541</v>
      </c>
      <c r="F72" s="45" t="s">
        <v>542</v>
      </c>
      <c r="G72" s="45" t="s">
        <v>543</v>
      </c>
      <c r="H72" s="45" t="s">
        <v>544</v>
      </c>
      <c r="I72" s="45" t="s">
        <v>78</v>
      </c>
      <c r="J72" s="45" t="s">
        <v>545</v>
      </c>
      <c r="K72" s="45" t="s">
        <v>92</v>
      </c>
      <c r="L72" s="45" t="s">
        <v>546</v>
      </c>
      <c r="M72" s="45" t="s">
        <v>547</v>
      </c>
    </row>
    <row r="73" spans="1:13" x14ac:dyDescent="0.2">
      <c r="A73" s="13" t="s">
        <v>27</v>
      </c>
      <c r="B73" s="45" t="s">
        <v>100</v>
      </c>
      <c r="C73" s="45" t="s">
        <v>548</v>
      </c>
      <c r="D73" s="45" t="s">
        <v>549</v>
      </c>
      <c r="E73" s="45" t="s">
        <v>79</v>
      </c>
      <c r="F73" s="45" t="s">
        <v>550</v>
      </c>
      <c r="G73" s="45" t="s">
        <v>118</v>
      </c>
      <c r="H73" s="45" t="s">
        <v>551</v>
      </c>
      <c r="I73" s="45" t="s">
        <v>552</v>
      </c>
      <c r="J73" s="45" t="s">
        <v>117</v>
      </c>
      <c r="K73" s="45" t="s">
        <v>80</v>
      </c>
      <c r="L73" s="45" t="s">
        <v>553</v>
      </c>
      <c r="M73" s="45" t="s">
        <v>81</v>
      </c>
    </row>
    <row r="74" spans="1:13" x14ac:dyDescent="0.2">
      <c r="A74" s="13" t="s">
        <v>28</v>
      </c>
      <c r="B74" s="45" t="s">
        <v>103</v>
      </c>
      <c r="C74" s="45" t="s">
        <v>554</v>
      </c>
      <c r="D74" s="45" t="s">
        <v>90</v>
      </c>
      <c r="E74" s="45" t="s">
        <v>93</v>
      </c>
      <c r="F74" s="45" t="s">
        <v>104</v>
      </c>
      <c r="G74" s="45" t="s">
        <v>555</v>
      </c>
      <c r="H74" s="45" t="s">
        <v>105</v>
      </c>
      <c r="I74" s="45" t="s">
        <v>556</v>
      </c>
      <c r="J74" s="45" t="s">
        <v>74</v>
      </c>
      <c r="K74" s="45" t="s">
        <v>557</v>
      </c>
      <c r="L74" s="45" t="s">
        <v>558</v>
      </c>
      <c r="M74" s="45" t="s">
        <v>559</v>
      </c>
    </row>
    <row r="75" spans="1:13" x14ac:dyDescent="0.2">
      <c r="A75" s="13" t="s">
        <v>29</v>
      </c>
      <c r="B75" s="45" t="s">
        <v>560</v>
      </c>
      <c r="C75" s="45" t="s">
        <v>561</v>
      </c>
      <c r="D75" s="45" t="s">
        <v>94</v>
      </c>
      <c r="E75" s="45" t="s">
        <v>101</v>
      </c>
      <c r="F75" s="45" t="s">
        <v>95</v>
      </c>
      <c r="G75" s="45" t="s">
        <v>106</v>
      </c>
      <c r="H75" s="45" t="s">
        <v>96</v>
      </c>
      <c r="I75" s="45" t="s">
        <v>114</v>
      </c>
      <c r="J75" s="45" t="s">
        <v>562</v>
      </c>
      <c r="K75" s="45" t="s">
        <v>97</v>
      </c>
      <c r="L75" s="45" t="s">
        <v>563</v>
      </c>
      <c r="M75" s="45" t="s">
        <v>564</v>
      </c>
    </row>
    <row r="76" spans="1:13" x14ac:dyDescent="0.2">
      <c r="A76" s="13" t="s">
        <v>30</v>
      </c>
      <c r="B76" s="45" t="s">
        <v>431</v>
      </c>
      <c r="C76" s="45" t="s">
        <v>83</v>
      </c>
      <c r="D76" s="45" t="s">
        <v>565</v>
      </c>
      <c r="E76" s="45" t="s">
        <v>566</v>
      </c>
      <c r="F76" s="45" t="s">
        <v>567</v>
      </c>
      <c r="G76" s="45" t="s">
        <v>568</v>
      </c>
      <c r="H76" s="45" t="s">
        <v>569</v>
      </c>
      <c r="I76" s="45" t="s">
        <v>570</v>
      </c>
      <c r="J76" s="45" t="s">
        <v>571</v>
      </c>
      <c r="K76" s="45" t="s">
        <v>572</v>
      </c>
      <c r="L76" s="45" t="s">
        <v>573</v>
      </c>
      <c r="M76" s="45" t="s">
        <v>574</v>
      </c>
    </row>
    <row r="77" spans="1:13" x14ac:dyDescent="0.2">
      <c r="A77" s="13" t="s">
        <v>31</v>
      </c>
      <c r="B77" s="44" t="s">
        <v>110</v>
      </c>
      <c r="C77" s="45" t="s">
        <v>84</v>
      </c>
      <c r="D77" s="45" t="s">
        <v>85</v>
      </c>
      <c r="E77" s="45" t="s">
        <v>575</v>
      </c>
      <c r="F77" s="45" t="s">
        <v>576</v>
      </c>
      <c r="G77" s="45" t="s">
        <v>577</v>
      </c>
      <c r="H77" s="45" t="s">
        <v>119</v>
      </c>
      <c r="I77" s="45" t="s">
        <v>578</v>
      </c>
      <c r="J77" s="45" t="s">
        <v>86</v>
      </c>
      <c r="K77" s="45" t="s">
        <v>579</v>
      </c>
      <c r="L77" s="45" t="s">
        <v>580</v>
      </c>
      <c r="M77" s="45" t="s">
        <v>581</v>
      </c>
    </row>
    <row r="79" spans="1:13" ht="19" x14ac:dyDescent="0.25">
      <c r="A79" s="34" t="s">
        <v>91</v>
      </c>
    </row>
    <row r="80" spans="1:13" x14ac:dyDescent="0.2">
      <c r="A80" s="13"/>
      <c r="B80" s="12">
        <v>1</v>
      </c>
      <c r="C80" s="12">
        <v>2</v>
      </c>
      <c r="D80" s="12">
        <v>3</v>
      </c>
      <c r="E80" s="12">
        <v>4</v>
      </c>
      <c r="F80" s="12">
        <v>5</v>
      </c>
      <c r="G80" s="12">
        <v>6</v>
      </c>
      <c r="H80" s="12">
        <v>7</v>
      </c>
      <c r="I80" s="12">
        <v>8</v>
      </c>
      <c r="J80" s="12">
        <v>9</v>
      </c>
      <c r="K80" s="12">
        <v>10</v>
      </c>
      <c r="L80" s="12">
        <v>11</v>
      </c>
      <c r="M80" s="12">
        <v>12</v>
      </c>
    </row>
    <row r="81" spans="1:13" ht="16" x14ac:dyDescent="0.2">
      <c r="A81" s="13" t="s">
        <v>24</v>
      </c>
      <c r="B81" s="35" t="s">
        <v>582</v>
      </c>
      <c r="C81" s="35" t="s">
        <v>582</v>
      </c>
      <c r="D81" s="35" t="s">
        <v>582</v>
      </c>
      <c r="E81" s="35" t="s">
        <v>582</v>
      </c>
      <c r="F81" s="35" t="s">
        <v>582</v>
      </c>
      <c r="G81" s="35" t="s">
        <v>582</v>
      </c>
      <c r="H81" s="35" t="s">
        <v>582</v>
      </c>
      <c r="I81" s="35" t="s">
        <v>582</v>
      </c>
      <c r="J81" s="45"/>
      <c r="K81" s="45"/>
      <c r="L81" s="45"/>
      <c r="M81" s="45"/>
    </row>
    <row r="82" spans="1:13" ht="16" x14ac:dyDescent="0.2">
      <c r="A82" s="13" t="s">
        <v>25</v>
      </c>
      <c r="B82" s="35" t="s">
        <v>583</v>
      </c>
      <c r="C82" s="35" t="s">
        <v>583</v>
      </c>
      <c r="D82" s="35" t="s">
        <v>583</v>
      </c>
      <c r="E82" s="35" t="s">
        <v>583</v>
      </c>
      <c r="F82" s="35" t="s">
        <v>583</v>
      </c>
      <c r="G82" s="35" t="s">
        <v>583</v>
      </c>
      <c r="H82" s="35" t="s">
        <v>583</v>
      </c>
      <c r="I82" s="35" t="s">
        <v>583</v>
      </c>
      <c r="J82" s="35" t="s">
        <v>583</v>
      </c>
      <c r="K82" s="35" t="s">
        <v>583</v>
      </c>
      <c r="L82" s="35" t="s">
        <v>583</v>
      </c>
      <c r="M82" s="35" t="s">
        <v>583</v>
      </c>
    </row>
    <row r="83" spans="1:13" ht="16" x14ac:dyDescent="0.2">
      <c r="A83" s="13" t="s">
        <v>26</v>
      </c>
      <c r="B83" s="35" t="s">
        <v>583</v>
      </c>
      <c r="C83" s="35" t="s">
        <v>583</v>
      </c>
      <c r="D83" s="35" t="s">
        <v>583</v>
      </c>
      <c r="E83" s="35" t="s">
        <v>583</v>
      </c>
      <c r="F83" s="45"/>
      <c r="G83" s="45"/>
      <c r="H83" s="45"/>
      <c r="I83" s="45"/>
      <c r="J83" s="45"/>
      <c r="K83" s="45"/>
      <c r="L83" s="45"/>
      <c r="M83" s="45"/>
    </row>
    <row r="84" spans="1:13" ht="16" x14ac:dyDescent="0.2">
      <c r="A84" s="13" t="s">
        <v>27</v>
      </c>
      <c r="B84" s="36" t="s">
        <v>584</v>
      </c>
      <c r="C84" s="35" t="s">
        <v>584</v>
      </c>
      <c r="D84" s="35" t="s">
        <v>584</v>
      </c>
      <c r="E84" s="35" t="s">
        <v>584</v>
      </c>
      <c r="F84" s="35" t="s">
        <v>584</v>
      </c>
      <c r="G84" s="35" t="s">
        <v>584</v>
      </c>
      <c r="H84" s="35" t="s">
        <v>584</v>
      </c>
      <c r="I84" s="35" t="s">
        <v>584</v>
      </c>
      <c r="J84" s="35" t="s">
        <v>584</v>
      </c>
      <c r="K84" s="35" t="s">
        <v>584</v>
      </c>
      <c r="L84" s="35" t="s">
        <v>584</v>
      </c>
      <c r="M84" s="36" t="s">
        <v>584</v>
      </c>
    </row>
    <row r="85" spans="1:13" ht="16" x14ac:dyDescent="0.2">
      <c r="A85" s="13" t="s">
        <v>28</v>
      </c>
      <c r="B85" s="36" t="s">
        <v>584</v>
      </c>
      <c r="C85" s="35" t="s">
        <v>584</v>
      </c>
      <c r="D85" s="35" t="s">
        <v>584</v>
      </c>
      <c r="E85" s="36" t="s">
        <v>584</v>
      </c>
      <c r="F85" s="36" t="s">
        <v>584</v>
      </c>
      <c r="G85" s="35" t="s">
        <v>584</v>
      </c>
      <c r="H85" s="36" t="s">
        <v>584</v>
      </c>
      <c r="I85" s="35" t="s">
        <v>584</v>
      </c>
      <c r="J85" s="35" t="s">
        <v>584</v>
      </c>
      <c r="K85" s="35" t="s">
        <v>584</v>
      </c>
      <c r="L85" s="35" t="s">
        <v>584</v>
      </c>
      <c r="M85" s="35" t="s">
        <v>584</v>
      </c>
    </row>
    <row r="86" spans="1:13" ht="16" x14ac:dyDescent="0.2">
      <c r="A86" s="13" t="s">
        <v>29</v>
      </c>
      <c r="B86" s="35" t="s">
        <v>585</v>
      </c>
      <c r="C86" s="35" t="s">
        <v>585</v>
      </c>
      <c r="D86" s="36" t="s">
        <v>585</v>
      </c>
      <c r="E86" s="35" t="s">
        <v>585</v>
      </c>
      <c r="F86" s="35" t="s">
        <v>585</v>
      </c>
      <c r="G86" s="36" t="s">
        <v>585</v>
      </c>
      <c r="H86" s="35" t="s">
        <v>585</v>
      </c>
      <c r="I86" s="35" t="s">
        <v>585</v>
      </c>
      <c r="J86" s="35" t="s">
        <v>585</v>
      </c>
      <c r="K86" s="35" t="s">
        <v>585</v>
      </c>
      <c r="L86" s="35" t="s">
        <v>585</v>
      </c>
      <c r="M86" s="35" t="s">
        <v>585</v>
      </c>
    </row>
    <row r="87" spans="1:13" ht="16" x14ac:dyDescent="0.2">
      <c r="A87" s="13" t="s">
        <v>30</v>
      </c>
      <c r="B87" s="35" t="s">
        <v>585</v>
      </c>
      <c r="C87" s="35" t="s">
        <v>585</v>
      </c>
      <c r="D87" s="35" t="s">
        <v>585</v>
      </c>
      <c r="E87" s="35" t="s">
        <v>585</v>
      </c>
      <c r="F87" s="35" t="s">
        <v>585</v>
      </c>
      <c r="G87" s="35" t="s">
        <v>585</v>
      </c>
      <c r="H87" s="35" t="s">
        <v>585</v>
      </c>
      <c r="I87" s="35" t="s">
        <v>585</v>
      </c>
      <c r="J87" s="35" t="s">
        <v>585</v>
      </c>
      <c r="K87" s="35" t="s">
        <v>585</v>
      </c>
      <c r="L87" s="35" t="s">
        <v>585</v>
      </c>
      <c r="M87" s="35" t="s">
        <v>585</v>
      </c>
    </row>
    <row r="88" spans="1:13" ht="16" x14ac:dyDescent="0.2">
      <c r="A88" s="13" t="s">
        <v>31</v>
      </c>
      <c r="B88" s="35" t="s">
        <v>585</v>
      </c>
      <c r="C88" s="35" t="s">
        <v>585</v>
      </c>
      <c r="D88" s="35" t="s">
        <v>585</v>
      </c>
      <c r="E88" s="35" t="s">
        <v>585</v>
      </c>
      <c r="F88" s="35" t="s">
        <v>585</v>
      </c>
      <c r="G88" s="35" t="s">
        <v>585</v>
      </c>
      <c r="H88" s="35" t="s">
        <v>585</v>
      </c>
      <c r="I88" s="35" t="s">
        <v>585</v>
      </c>
      <c r="J88" s="35" t="s">
        <v>586</v>
      </c>
      <c r="K88" s="35" t="s">
        <v>587</v>
      </c>
      <c r="L88" s="45"/>
      <c r="M88" s="45"/>
    </row>
    <row r="90" spans="1:13" ht="19" x14ac:dyDescent="0.25">
      <c r="A90" s="46" t="s">
        <v>588</v>
      </c>
    </row>
    <row r="91" spans="1:13" x14ac:dyDescent="0.2">
      <c r="A91" s="13"/>
      <c r="B91" s="12">
        <v>1</v>
      </c>
      <c r="C91" s="12">
        <v>2</v>
      </c>
      <c r="D91" s="12">
        <v>3</v>
      </c>
      <c r="E91" s="12">
        <v>4</v>
      </c>
      <c r="F91" s="12">
        <v>5</v>
      </c>
      <c r="G91" s="12">
        <v>6</v>
      </c>
      <c r="H91" s="12">
        <v>7</v>
      </c>
      <c r="I91" s="12">
        <v>8</v>
      </c>
      <c r="J91" s="12">
        <v>9</v>
      </c>
      <c r="K91" s="12">
        <v>10</v>
      </c>
      <c r="L91" s="12">
        <v>11</v>
      </c>
      <c r="M91" s="12">
        <v>12</v>
      </c>
    </row>
    <row r="92" spans="1:13" x14ac:dyDescent="0.2">
      <c r="A92" s="13" t="s">
        <v>24</v>
      </c>
      <c r="B92" s="45" t="s">
        <v>524</v>
      </c>
      <c r="C92" s="45" t="s">
        <v>525</v>
      </c>
      <c r="D92" s="45" t="s">
        <v>526</v>
      </c>
      <c r="E92" s="45" t="s">
        <v>527</v>
      </c>
      <c r="F92" s="45" t="s">
        <v>528</v>
      </c>
      <c r="G92" s="45" t="s">
        <v>73</v>
      </c>
      <c r="H92" s="45" t="s">
        <v>529</v>
      </c>
      <c r="I92" s="45" t="s">
        <v>88</v>
      </c>
      <c r="J92" s="45" t="s">
        <v>108</v>
      </c>
      <c r="K92" s="45" t="s">
        <v>530</v>
      </c>
      <c r="L92" s="45" t="s">
        <v>531</v>
      </c>
      <c r="M92" s="45" t="s">
        <v>532</v>
      </c>
    </row>
    <row r="93" spans="1:13" x14ac:dyDescent="0.2">
      <c r="A93" s="13" t="s">
        <v>25</v>
      </c>
      <c r="B93" s="45" t="s">
        <v>76</v>
      </c>
      <c r="C93" s="45" t="s">
        <v>533</v>
      </c>
      <c r="D93" s="45" t="s">
        <v>534</v>
      </c>
      <c r="E93" s="45" t="s">
        <v>109</v>
      </c>
      <c r="F93" s="45" t="s">
        <v>535</v>
      </c>
      <c r="G93" s="45" t="s">
        <v>89</v>
      </c>
      <c r="H93" s="45" t="s">
        <v>536</v>
      </c>
      <c r="I93" s="45" t="s">
        <v>77</v>
      </c>
      <c r="J93" s="45" t="s">
        <v>537</v>
      </c>
      <c r="K93" s="45" t="s">
        <v>538</v>
      </c>
      <c r="L93" s="45" t="s">
        <v>99</v>
      </c>
      <c r="M93" s="45" t="s">
        <v>539</v>
      </c>
    </row>
    <row r="94" spans="1:13" x14ac:dyDescent="0.2">
      <c r="A94" s="13" t="s">
        <v>26</v>
      </c>
      <c r="B94" s="44" t="s">
        <v>113</v>
      </c>
      <c r="C94" s="45" t="s">
        <v>540</v>
      </c>
      <c r="D94" s="45" t="s">
        <v>116</v>
      </c>
      <c r="E94" s="45" t="s">
        <v>541</v>
      </c>
      <c r="F94" s="45" t="s">
        <v>542</v>
      </c>
      <c r="G94" s="45" t="s">
        <v>543</v>
      </c>
      <c r="H94" s="45" t="s">
        <v>544</v>
      </c>
      <c r="I94" s="45" t="s">
        <v>78</v>
      </c>
      <c r="J94" s="45" t="s">
        <v>545</v>
      </c>
      <c r="K94" s="45" t="s">
        <v>92</v>
      </c>
      <c r="L94" s="45" t="s">
        <v>546</v>
      </c>
      <c r="M94" s="45" t="s">
        <v>547</v>
      </c>
    </row>
    <row r="95" spans="1:13" x14ac:dyDescent="0.2">
      <c r="A95" s="13" t="s">
        <v>27</v>
      </c>
      <c r="B95" s="45" t="s">
        <v>100</v>
      </c>
      <c r="C95" s="45" t="s">
        <v>548</v>
      </c>
      <c r="D95" s="45" t="s">
        <v>549</v>
      </c>
      <c r="E95" s="45" t="s">
        <v>79</v>
      </c>
      <c r="F95" s="45" t="s">
        <v>550</v>
      </c>
      <c r="G95" s="45" t="s">
        <v>118</v>
      </c>
      <c r="H95" s="45" t="s">
        <v>551</v>
      </c>
      <c r="I95" s="45" t="s">
        <v>552</v>
      </c>
      <c r="J95" s="45" t="s">
        <v>117</v>
      </c>
      <c r="K95" s="45" t="s">
        <v>80</v>
      </c>
      <c r="L95" s="45" t="s">
        <v>553</v>
      </c>
      <c r="M95" s="45" t="s">
        <v>81</v>
      </c>
    </row>
    <row r="96" spans="1:13" x14ac:dyDescent="0.2">
      <c r="A96" s="13" t="s">
        <v>28</v>
      </c>
      <c r="B96" s="45" t="s">
        <v>103</v>
      </c>
      <c r="C96" s="45" t="s">
        <v>554</v>
      </c>
      <c r="D96" s="45" t="s">
        <v>90</v>
      </c>
      <c r="E96" s="45" t="s">
        <v>93</v>
      </c>
      <c r="F96" s="44" t="s">
        <v>104</v>
      </c>
      <c r="G96" s="45" t="s">
        <v>555</v>
      </c>
      <c r="H96" s="45" t="s">
        <v>105</v>
      </c>
      <c r="I96" s="45" t="s">
        <v>556</v>
      </c>
      <c r="J96" s="45" t="s">
        <v>74</v>
      </c>
      <c r="K96" s="45" t="s">
        <v>557</v>
      </c>
      <c r="L96" s="45" t="s">
        <v>558</v>
      </c>
      <c r="M96" s="45" t="s">
        <v>559</v>
      </c>
    </row>
    <row r="97" spans="1:13" x14ac:dyDescent="0.2">
      <c r="A97" s="13" t="s">
        <v>29</v>
      </c>
      <c r="B97" s="45" t="s">
        <v>560</v>
      </c>
      <c r="C97" s="45" t="s">
        <v>561</v>
      </c>
      <c r="D97" s="45" t="s">
        <v>94</v>
      </c>
      <c r="E97" s="45" t="s">
        <v>101</v>
      </c>
      <c r="F97" s="45" t="s">
        <v>95</v>
      </c>
      <c r="G97" s="45" t="s">
        <v>106</v>
      </c>
      <c r="H97" s="45" t="s">
        <v>96</v>
      </c>
      <c r="I97" s="44" t="s">
        <v>114</v>
      </c>
      <c r="J97" s="45" t="s">
        <v>562</v>
      </c>
      <c r="K97" s="45" t="s">
        <v>97</v>
      </c>
      <c r="L97" s="45" t="s">
        <v>563</v>
      </c>
      <c r="M97" s="45" t="s">
        <v>564</v>
      </c>
    </row>
    <row r="98" spans="1:13" x14ac:dyDescent="0.2">
      <c r="A98" s="13" t="s">
        <v>30</v>
      </c>
      <c r="B98" s="45" t="s">
        <v>431</v>
      </c>
      <c r="C98" s="45" t="s">
        <v>83</v>
      </c>
      <c r="D98" s="45" t="s">
        <v>565</v>
      </c>
      <c r="E98" s="45" t="s">
        <v>566</v>
      </c>
      <c r="F98" s="45" t="s">
        <v>567</v>
      </c>
      <c r="G98" s="45" t="s">
        <v>568</v>
      </c>
      <c r="H98" s="45" t="s">
        <v>569</v>
      </c>
      <c r="I98" s="45" t="s">
        <v>570</v>
      </c>
      <c r="J98" s="45" t="s">
        <v>571</v>
      </c>
      <c r="K98" s="45" t="s">
        <v>572</v>
      </c>
      <c r="L98" s="45" t="s">
        <v>573</v>
      </c>
      <c r="M98" s="45" t="s">
        <v>574</v>
      </c>
    </row>
    <row r="99" spans="1:13" x14ac:dyDescent="0.2">
      <c r="A99" s="13" t="s">
        <v>31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1" spans="1:13" ht="19" x14ac:dyDescent="0.25">
      <c r="A101" s="46" t="s">
        <v>115</v>
      </c>
    </row>
    <row r="102" spans="1:13" x14ac:dyDescent="0.2">
      <c r="A102" s="13"/>
      <c r="B102" s="12">
        <v>1</v>
      </c>
      <c r="C102" s="12">
        <v>2</v>
      </c>
      <c r="D102" s="12">
        <v>3</v>
      </c>
      <c r="E102" s="12">
        <v>4</v>
      </c>
      <c r="F102" s="12">
        <v>5</v>
      </c>
      <c r="G102" s="12">
        <v>6</v>
      </c>
      <c r="H102" s="12">
        <v>7</v>
      </c>
      <c r="I102" s="12">
        <v>8</v>
      </c>
      <c r="J102" s="12">
        <v>9</v>
      </c>
      <c r="K102" s="12">
        <v>10</v>
      </c>
      <c r="L102" s="12">
        <v>11</v>
      </c>
      <c r="M102" s="12">
        <v>12</v>
      </c>
    </row>
    <row r="103" spans="1:13" x14ac:dyDescent="0.2">
      <c r="A103" s="13" t="s">
        <v>24</v>
      </c>
      <c r="B103" s="45" t="s">
        <v>589</v>
      </c>
      <c r="C103" s="45" t="s">
        <v>589</v>
      </c>
      <c r="D103" s="45" t="s">
        <v>589</v>
      </c>
      <c r="E103" s="45" t="s">
        <v>589</v>
      </c>
      <c r="F103" s="45" t="s">
        <v>589</v>
      </c>
      <c r="G103" s="45" t="s">
        <v>589</v>
      </c>
      <c r="H103" s="45" t="s">
        <v>589</v>
      </c>
      <c r="I103" s="45" t="s">
        <v>589</v>
      </c>
      <c r="J103" s="45" t="s">
        <v>589</v>
      </c>
      <c r="K103" s="45" t="s">
        <v>589</v>
      </c>
      <c r="L103" s="45" t="s">
        <v>589</v>
      </c>
      <c r="M103" s="45" t="s">
        <v>589</v>
      </c>
    </row>
    <row r="104" spans="1:13" x14ac:dyDescent="0.2">
      <c r="A104" s="13" t="s">
        <v>25</v>
      </c>
      <c r="B104" s="45" t="s">
        <v>589</v>
      </c>
      <c r="C104" s="45" t="s">
        <v>589</v>
      </c>
      <c r="D104" s="45" t="s">
        <v>589</v>
      </c>
      <c r="E104" s="45" t="s">
        <v>589</v>
      </c>
      <c r="F104" s="45" t="s">
        <v>589</v>
      </c>
      <c r="G104" s="45" t="s">
        <v>589</v>
      </c>
      <c r="H104" s="45" t="s">
        <v>589</v>
      </c>
      <c r="I104" s="45" t="s">
        <v>589</v>
      </c>
      <c r="J104" s="45" t="s">
        <v>589</v>
      </c>
      <c r="K104" s="45" t="s">
        <v>589</v>
      </c>
      <c r="L104" s="45" t="s">
        <v>589</v>
      </c>
      <c r="M104" s="45" t="s">
        <v>589</v>
      </c>
    </row>
    <row r="105" spans="1:13" x14ac:dyDescent="0.2">
      <c r="A105" s="13" t="s">
        <v>26</v>
      </c>
      <c r="B105" s="45" t="s">
        <v>589</v>
      </c>
      <c r="C105" s="45" t="s">
        <v>589</v>
      </c>
      <c r="D105" s="44" t="s">
        <v>589</v>
      </c>
      <c r="E105" s="45" t="s">
        <v>589</v>
      </c>
      <c r="F105" s="45" t="s">
        <v>589</v>
      </c>
      <c r="G105" s="45" t="s">
        <v>589</v>
      </c>
      <c r="H105" s="45" t="s">
        <v>589</v>
      </c>
      <c r="I105" s="45" t="s">
        <v>589</v>
      </c>
      <c r="J105" s="45" t="s">
        <v>589</v>
      </c>
      <c r="K105" s="45" t="s">
        <v>589</v>
      </c>
      <c r="L105" s="45" t="s">
        <v>589</v>
      </c>
      <c r="M105" s="45" t="s">
        <v>589</v>
      </c>
    </row>
    <row r="106" spans="1:13" x14ac:dyDescent="0.2">
      <c r="A106" s="13" t="s">
        <v>27</v>
      </c>
      <c r="B106" s="45" t="s">
        <v>589</v>
      </c>
      <c r="C106" s="45" t="s">
        <v>589</v>
      </c>
      <c r="D106" s="45" t="s">
        <v>589</v>
      </c>
      <c r="E106" s="45" t="s">
        <v>589</v>
      </c>
      <c r="F106" s="45" t="s">
        <v>589</v>
      </c>
      <c r="G106" s="44" t="s">
        <v>589</v>
      </c>
      <c r="H106" s="45" t="s">
        <v>589</v>
      </c>
      <c r="I106" s="45" t="s">
        <v>589</v>
      </c>
      <c r="J106" s="44" t="s">
        <v>589</v>
      </c>
      <c r="K106" s="45" t="s">
        <v>589</v>
      </c>
      <c r="L106" s="45" t="s">
        <v>589</v>
      </c>
      <c r="M106" s="45" t="s">
        <v>589</v>
      </c>
    </row>
    <row r="107" spans="1:13" x14ac:dyDescent="0.2">
      <c r="A107" s="13" t="s">
        <v>28</v>
      </c>
      <c r="B107" s="45" t="s">
        <v>589</v>
      </c>
      <c r="C107" s="45" t="s">
        <v>589</v>
      </c>
      <c r="D107" s="45" t="s">
        <v>589</v>
      </c>
      <c r="E107" s="45" t="s">
        <v>589</v>
      </c>
      <c r="F107" s="45" t="s">
        <v>589</v>
      </c>
      <c r="G107" s="45" t="s">
        <v>589</v>
      </c>
      <c r="H107" s="45" t="s">
        <v>589</v>
      </c>
      <c r="I107" s="45" t="s">
        <v>589</v>
      </c>
      <c r="J107" s="45" t="s">
        <v>589</v>
      </c>
      <c r="K107" s="45" t="s">
        <v>589</v>
      </c>
      <c r="L107" s="45" t="s">
        <v>589</v>
      </c>
      <c r="M107" s="45" t="s">
        <v>589</v>
      </c>
    </row>
    <row r="108" spans="1:13" x14ac:dyDescent="0.2">
      <c r="A108" s="13" t="s">
        <v>29</v>
      </c>
      <c r="B108" s="45" t="s">
        <v>589</v>
      </c>
      <c r="C108" s="45" t="s">
        <v>589</v>
      </c>
      <c r="D108" s="45" t="s">
        <v>589</v>
      </c>
      <c r="E108" s="45" t="s">
        <v>589</v>
      </c>
      <c r="F108" s="44" t="s">
        <v>589</v>
      </c>
      <c r="G108" s="44" t="s">
        <v>589</v>
      </c>
      <c r="H108" s="45" t="s">
        <v>589</v>
      </c>
      <c r="I108" s="45" t="s">
        <v>589</v>
      </c>
      <c r="J108" s="45" t="s">
        <v>589</v>
      </c>
      <c r="K108" s="45" t="s">
        <v>589</v>
      </c>
      <c r="L108" s="45" t="s">
        <v>589</v>
      </c>
      <c r="M108" s="45" t="s">
        <v>589</v>
      </c>
    </row>
    <row r="109" spans="1:13" x14ac:dyDescent="0.2">
      <c r="A109" s="13" t="s">
        <v>30</v>
      </c>
      <c r="B109" s="45" t="s">
        <v>589</v>
      </c>
      <c r="C109" s="45" t="s">
        <v>589</v>
      </c>
      <c r="D109" s="45" t="s">
        <v>589</v>
      </c>
      <c r="E109" s="45" t="s">
        <v>589</v>
      </c>
      <c r="F109" s="45" t="s">
        <v>589</v>
      </c>
      <c r="G109" s="45" t="s">
        <v>589</v>
      </c>
      <c r="H109" s="45" t="s">
        <v>589</v>
      </c>
      <c r="I109" s="45" t="s">
        <v>589</v>
      </c>
      <c r="J109" s="45" t="s">
        <v>589</v>
      </c>
      <c r="K109" s="45" t="s">
        <v>589</v>
      </c>
      <c r="L109" s="45" t="s">
        <v>589</v>
      </c>
      <c r="M109" s="45" t="s">
        <v>589</v>
      </c>
    </row>
    <row r="110" spans="1:13" x14ac:dyDescent="0.2">
      <c r="A110" s="13" t="s">
        <v>31</v>
      </c>
      <c r="B110" s="45" t="s">
        <v>589</v>
      </c>
      <c r="C110" s="45" t="s">
        <v>589</v>
      </c>
      <c r="D110" s="45" t="s">
        <v>589</v>
      </c>
      <c r="E110" s="45" t="s">
        <v>589</v>
      </c>
      <c r="F110" s="45" t="s">
        <v>589</v>
      </c>
      <c r="G110" s="45" t="s">
        <v>589</v>
      </c>
      <c r="H110" s="44" t="s">
        <v>589</v>
      </c>
      <c r="I110" s="45" t="s">
        <v>589</v>
      </c>
      <c r="J110" s="45" t="s">
        <v>589</v>
      </c>
      <c r="K110" s="45" t="s">
        <v>589</v>
      </c>
      <c r="L110" s="45" t="s">
        <v>589</v>
      </c>
      <c r="M110" s="45" t="s">
        <v>589</v>
      </c>
    </row>
    <row r="112" spans="1:13" ht="16" x14ac:dyDescent="0.2">
      <c r="B112" s="47"/>
      <c r="C112" s="47"/>
      <c r="D112" s="47"/>
      <c r="E112" s="47"/>
      <c r="F112" s="47"/>
      <c r="G112" s="47"/>
    </row>
  </sheetData>
  <phoneticPr fontId="19" type="noConversion"/>
  <pageMargins left="0.7" right="0.7" top="0.75" bottom="0.75" header="0.3" footer="0.3"/>
  <pageSetup scale="25" fitToHeight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qPCR</vt:lpstr>
      <vt:lpstr>EVE Specific PCR</vt:lpstr>
      <vt:lpstr>Platemaps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lexih</dc:creator>
  <cp:lastModifiedBy>Keene-Snickers,Lexi</cp:lastModifiedBy>
  <cp:lastPrinted>2025-03-14T17:14:16Z</cp:lastPrinted>
  <dcterms:created xsi:type="dcterms:W3CDTF">2021-06-15T19:46:12Z</dcterms:created>
  <dcterms:modified xsi:type="dcterms:W3CDTF">2025-03-21T14:44:39Z</dcterms:modified>
</cp:coreProperties>
</file>