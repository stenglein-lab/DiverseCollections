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PhD_Research/diverse_collections/github/analyses/data/"/>
    </mc:Choice>
  </mc:AlternateContent>
  <xr:revisionPtr revIDLastSave="0" documentId="13_ncr:1_{4D52CD61-3B77-B04A-AA13-264E82A6819B}" xr6:coauthVersionLast="47" xr6:coauthVersionMax="47" xr10:uidLastSave="{00000000-0000-0000-0000-000000000000}"/>
  <bookViews>
    <workbookView xWindow="-35620" yWindow="1440" windowWidth="34480" windowHeight="21100" xr2:uid="{2FD151FF-324E-8F4B-B590-25CABDE34919}"/>
  </bookViews>
  <sheets>
    <sheet name="Metadata_Table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</calcChain>
</file>

<file path=xl/sharedStrings.xml><?xml version="1.0" encoding="utf-8"?>
<sst xmlns="http://schemas.openxmlformats.org/spreadsheetml/2006/main" count="3736" uniqueCount="474">
  <si>
    <t>sample_name</t>
  </si>
  <si>
    <t>complete</t>
  </si>
  <si>
    <t>low_pos</t>
  </si>
  <si>
    <t>ct_1600_1601</t>
  </si>
  <si>
    <t>ct_2165_2170</t>
  </si>
  <si>
    <t>expected_result</t>
  </si>
  <si>
    <t>1020_A7</t>
  </si>
  <si>
    <t>y</t>
  </si>
  <si>
    <t>n</t>
  </si>
  <si>
    <t>1020_A8</t>
  </si>
  <si>
    <t>-</t>
  </si>
  <si>
    <t>1020_A8_2</t>
  </si>
  <si>
    <t>1020_B11</t>
  </si>
  <si>
    <t>1020_B6</t>
  </si>
  <si>
    <t>1020_C1</t>
  </si>
  <si>
    <t>1020_C2</t>
  </si>
  <si>
    <t>1020_D1</t>
  </si>
  <si>
    <t>1020_D3</t>
  </si>
  <si>
    <t>1020_D9</t>
  </si>
  <si>
    <t>1020_F_0818_D11</t>
  </si>
  <si>
    <t>1020_F_0818_D4</t>
  </si>
  <si>
    <t>1020_F_0818_E4</t>
  </si>
  <si>
    <t>1020_F_31</t>
  </si>
  <si>
    <t>1020_F_36</t>
  </si>
  <si>
    <t>1020_F_40</t>
  </si>
  <si>
    <t>1020_F_44</t>
  </si>
  <si>
    <t>1020_F1</t>
  </si>
  <si>
    <t>1020_F3</t>
  </si>
  <si>
    <t>1020_F6</t>
  </si>
  <si>
    <t>1020_F8</t>
  </si>
  <si>
    <t>1020_G1</t>
  </si>
  <si>
    <t>1020_G3</t>
  </si>
  <si>
    <t>1020_H7</t>
  </si>
  <si>
    <t>1020_M_0818_A10</t>
  </si>
  <si>
    <t>1020_M_0818_A5</t>
  </si>
  <si>
    <t>1020_M_0818_A7</t>
  </si>
  <si>
    <t>1020_M_19</t>
  </si>
  <si>
    <t>1020_M_8</t>
  </si>
  <si>
    <t>1428_F_15</t>
  </si>
  <si>
    <t>1428_F_8</t>
  </si>
  <si>
    <t>1428_M_3</t>
  </si>
  <si>
    <t>1428_M_4</t>
  </si>
  <si>
    <t>1428_M_6</t>
  </si>
  <si>
    <t>1428-F-21</t>
  </si>
  <si>
    <t>1428-M-21</t>
  </si>
  <si>
    <t>1428-M-36</t>
  </si>
  <si>
    <t>1428-M-42</t>
  </si>
  <si>
    <t>1428-M-43</t>
  </si>
  <si>
    <t>500_F_11</t>
  </si>
  <si>
    <t>500_F_12</t>
  </si>
  <si>
    <t>500_F_21</t>
  </si>
  <si>
    <t>500_F_41</t>
  </si>
  <si>
    <t>500_F_42</t>
  </si>
  <si>
    <t>500_F_67</t>
  </si>
  <si>
    <t>500_M_100</t>
  </si>
  <si>
    <t>500_M_16</t>
  </si>
  <si>
    <t>500_M_17</t>
  </si>
  <si>
    <t>500_M_40</t>
  </si>
  <si>
    <t>500_M_54</t>
  </si>
  <si>
    <t>500_M_55</t>
  </si>
  <si>
    <t>500_M_57</t>
  </si>
  <si>
    <t>500_M_6</t>
  </si>
  <si>
    <t>500_M_60</t>
  </si>
  <si>
    <t>500_M_61</t>
  </si>
  <si>
    <t>500_M_61_2</t>
  </si>
  <si>
    <t>500_M_65</t>
  </si>
  <si>
    <t>500_M_65_2</t>
  </si>
  <si>
    <t>500_M_71</t>
  </si>
  <si>
    <t>500_M_71_2</t>
  </si>
  <si>
    <t>500_M_83</t>
  </si>
  <si>
    <t>500_M_84</t>
  </si>
  <si>
    <t>500_M_F10</t>
  </si>
  <si>
    <t>500_M_F11</t>
  </si>
  <si>
    <t>500_M_F9</t>
  </si>
  <si>
    <t>500_M_G2</t>
  </si>
  <si>
    <t>Adobe-B4</t>
  </si>
  <si>
    <t>Adobe-B6</t>
  </si>
  <si>
    <t>Adobe-B8</t>
  </si>
  <si>
    <t>Adobe-C1</t>
  </si>
  <si>
    <t>Adobe-C2</t>
  </si>
  <si>
    <t>Briarwood_D10</t>
  </si>
  <si>
    <t>Briarwood_D9</t>
  </si>
  <si>
    <t>CVID_0825_B1</t>
  </si>
  <si>
    <t>CVID_0825_C10</t>
  </si>
  <si>
    <t>CVID_0911_E3</t>
  </si>
  <si>
    <t>CVID_0911_F3</t>
  </si>
  <si>
    <t>CVID_0911_F4</t>
  </si>
  <si>
    <t>CVID_1006_G6</t>
  </si>
  <si>
    <t>CVID_1006_G7</t>
  </si>
  <si>
    <t>CVID_1006_H2</t>
  </si>
  <si>
    <t>CVID_1006_H3</t>
  </si>
  <si>
    <t>CVID_1006_H4</t>
  </si>
  <si>
    <t>hydei-20-TD-1</t>
  </si>
  <si>
    <t>James-A4</t>
  </si>
  <si>
    <t>James-A5</t>
  </si>
  <si>
    <t>ME-F-1</t>
  </si>
  <si>
    <t>ME-F-2</t>
  </si>
  <si>
    <t>ME-F-3</t>
  </si>
  <si>
    <t>ME-F-9</t>
  </si>
  <si>
    <t>ME-M-1</t>
  </si>
  <si>
    <t>ME-M-10</t>
  </si>
  <si>
    <t>ME-M-11</t>
  </si>
  <si>
    <t>ME-M-13</t>
  </si>
  <si>
    <t>ME-M-14</t>
  </si>
  <si>
    <t>ME-M-17</t>
  </si>
  <si>
    <t>ME-M-18</t>
  </si>
  <si>
    <t>ME-M-19</t>
  </si>
  <si>
    <t>ME-M-2</t>
  </si>
  <si>
    <t>ME-M-20</t>
  </si>
  <si>
    <t>ME-M-3</t>
  </si>
  <si>
    <t>ME-M-4</t>
  </si>
  <si>
    <t>ME-M-6</t>
  </si>
  <si>
    <t>ME-M-7</t>
  </si>
  <si>
    <t>ME-M-8</t>
  </si>
  <si>
    <t>ME-M-9</t>
  </si>
  <si>
    <t>mel-20-AG-4</t>
  </si>
  <si>
    <t>mel-20-AG-5</t>
  </si>
  <si>
    <t>mel-20-TD-3</t>
  </si>
  <si>
    <t>mel-21-LK-5</t>
  </si>
  <si>
    <t>mel-21-MDS-9</t>
  </si>
  <si>
    <t>Myrtle_E10</t>
  </si>
  <si>
    <t>Myrtle_E9</t>
  </si>
  <si>
    <t>Myrtle-D1</t>
  </si>
  <si>
    <t>Myrtle-D11</t>
  </si>
  <si>
    <t>Myrtle-D5</t>
  </si>
  <si>
    <t>Myrtle-D8</t>
  </si>
  <si>
    <t>Myrtle-E4</t>
  </si>
  <si>
    <t>OH_M_5</t>
  </si>
  <si>
    <t>OH_M_7</t>
  </si>
  <si>
    <t>Peach_1_B2</t>
  </si>
  <si>
    <t>Peach_10_F10</t>
  </si>
  <si>
    <t>Peach_11_F11</t>
  </si>
  <si>
    <t>Peach_12_H1</t>
  </si>
  <si>
    <t>Peach_13_H7</t>
  </si>
  <si>
    <t>Peach_2_B4</t>
  </si>
  <si>
    <t>Peach_3_B5</t>
  </si>
  <si>
    <t>Peach_4_B7</t>
  </si>
  <si>
    <t>Peach_5_B9</t>
  </si>
  <si>
    <t>Peach_6_E5</t>
  </si>
  <si>
    <t>Peach_7_F6</t>
  </si>
  <si>
    <t>Peach_8_F7</t>
  </si>
  <si>
    <t>Peach_9_F8</t>
  </si>
  <si>
    <t>Penn-F-1</t>
  </si>
  <si>
    <t>Penn-F-12</t>
  </si>
  <si>
    <t>Penn-F-2</t>
  </si>
  <si>
    <t>Penn-F-3</t>
  </si>
  <si>
    <t>Penn-F-4</t>
  </si>
  <si>
    <t>Penn-F-6</t>
  </si>
  <si>
    <t>Penn-F-9</t>
  </si>
  <si>
    <t>Penn-M-10</t>
  </si>
  <si>
    <t>Penn-M-11</t>
  </si>
  <si>
    <t>Penn-M-14</t>
  </si>
  <si>
    <t>Penn-M-15</t>
  </si>
  <si>
    <t>Penn-M-2</t>
  </si>
  <si>
    <t>Penn-M-8</t>
  </si>
  <si>
    <t>sim-20-AG-3</t>
  </si>
  <si>
    <t>sim-20-TD-4</t>
  </si>
  <si>
    <t>sim-20-TD-5</t>
  </si>
  <si>
    <t>location</t>
  </si>
  <si>
    <t>species</t>
  </si>
  <si>
    <t>Colorado</t>
  </si>
  <si>
    <t>Maine</t>
  </si>
  <si>
    <t>Ohio</t>
  </si>
  <si>
    <t>Pennsylvania</t>
  </si>
  <si>
    <t>Drosophila melanogaster</t>
  </si>
  <si>
    <t>Drosophila affinis</t>
  </si>
  <si>
    <t>undetermined</t>
  </si>
  <si>
    <t>galbut_present</t>
  </si>
  <si>
    <t>chaq_present</t>
  </si>
  <si>
    <t>chaq_complete</t>
  </si>
  <si>
    <t>galbut_complete</t>
  </si>
  <si>
    <t>present</t>
  </si>
  <si>
    <t>num_seqs_submit</t>
  </si>
  <si>
    <t>RNA1_submit</t>
  </si>
  <si>
    <t>RNA2_submit</t>
  </si>
  <si>
    <t>RNA3_submit</t>
  </si>
  <si>
    <t>Chaq_submit</t>
  </si>
  <si>
    <t>num_seqs_total</t>
  </si>
  <si>
    <t>RNA1_total</t>
  </si>
  <si>
    <t>RNA2_total</t>
  </si>
  <si>
    <t>RNA3_total</t>
  </si>
  <si>
    <t>Chaq_total</t>
  </si>
  <si>
    <t>genotype</t>
  </si>
  <si>
    <t>A</t>
  </si>
  <si>
    <t>B</t>
  </si>
  <si>
    <t>ct_rpl</t>
  </si>
  <si>
    <t>accession</t>
  </si>
  <si>
    <t>PQ625057, PQ624953, PQ624841, PQ624842</t>
  </si>
  <si>
    <t>PQ625058, PQ624954, PQ624843, PQ624844</t>
  </si>
  <si>
    <t>PQ625154, PQ625059, PQ624955, PQ624845</t>
  </si>
  <si>
    <t>PQ625155, PQ625060, PQ624956, PQ624846</t>
  </si>
  <si>
    <t>PQ625061, PQ624957, PQ624958, PQ624847</t>
  </si>
  <si>
    <t>PQ625156, PQ625062, PQ624959, PQ624848, PQ624849</t>
  </si>
  <si>
    <t>PQ625063, PQ624960, PQ624850</t>
  </si>
  <si>
    <t>PQ625064, PQ624961, PQ624851</t>
  </si>
  <si>
    <t>PQ625157, PQ625065, PQ624962, PQ624852</t>
  </si>
  <si>
    <t>PQ625066, PQ624963, PQ624853</t>
  </si>
  <si>
    <t>PQ625158, PQ625067, PQ624964, PQ624854</t>
  </si>
  <si>
    <t>PQ625068, PQ624965, PQ624855, PQ624856</t>
  </si>
  <si>
    <t>PQ625159, PQ625069, PQ624966, PQ624857</t>
  </si>
  <si>
    <t>PQ625160, PQ625070, PQ624967, PQ624858</t>
  </si>
  <si>
    <t>PQ625161, PQ625071, PQ624968, PQ624859</t>
  </si>
  <si>
    <t>PQ625162, PQ625072, PQ624969, PQ624860</t>
  </si>
  <si>
    <t>PQ625163, PQ625073, PQ624970, PQ624861</t>
  </si>
  <si>
    <t>PQ625074, PQ624971, PQ624862</t>
  </si>
  <si>
    <t>PQ625164, PQ625075, PQ624972, PQ624863</t>
  </si>
  <si>
    <t>PQ625165, PQ625076, PQ624973, PQ624864</t>
  </si>
  <si>
    <t>PQ625077, PQ624974, PQ624865</t>
  </si>
  <si>
    <t>PQ625078, PQ624975, PQ624866</t>
  </si>
  <si>
    <t>PQ625166, PQ625079, PQ624976, PQ624867, PQ624868</t>
  </si>
  <si>
    <t>PQ625167, PQ625080, PQ624977, PQ624869</t>
  </si>
  <si>
    <t>PQ625081, PQ624978, PQ624870</t>
  </si>
  <si>
    <t>PQ625082, PQ624979, PQ624871</t>
  </si>
  <si>
    <t>PQ625168, PQ625083, PQ624980, PQ624872</t>
  </si>
  <si>
    <t>PQ625084, PQ624981, PQ624873</t>
  </si>
  <si>
    <t>PQ625169, PQ625085, PQ624982, PQ624874</t>
  </si>
  <si>
    <t>PQ625170, PQ625086, PQ624983, PQ624875</t>
  </si>
  <si>
    <t>PQ625087, PQ624984, PQ624876</t>
  </si>
  <si>
    <t>PQ625171, PQ625088, PQ624985, PQ624877, PQ624878</t>
  </si>
  <si>
    <t>PQ625089, PQ624986, PQ624879</t>
  </si>
  <si>
    <t>PQ625172, PQ625090, PQ624987, PQ624880</t>
  </si>
  <si>
    <t>PQ625091, PQ624988, PQ624881</t>
  </si>
  <si>
    <t>PQ625092, PQ624989, PQ624882</t>
  </si>
  <si>
    <t>PQ625093, PQ624990, PQ624883</t>
  </si>
  <si>
    <t>PQ625173, PQ625094, PQ624991, PQ624884</t>
  </si>
  <si>
    <t>PQ625174, PQ625095, PQ624992, PQ624885</t>
  </si>
  <si>
    <t>PQ625175, PQ625096, PQ624993, PQ624886</t>
  </si>
  <si>
    <t>PQ625097, PQ624994, PQ624887</t>
  </si>
  <si>
    <t>PQ625176, PQ625098, PQ624995, PQ624888</t>
  </si>
  <si>
    <t>PQ625099, PQ624996, PQ624889</t>
  </si>
  <si>
    <t>PQ625100, PQ624997, PQ624890, PQ624891</t>
  </si>
  <si>
    <t>PQ625177, PQ625101, PQ624998, PQ624892</t>
  </si>
  <si>
    <t>PQ624893</t>
  </si>
  <si>
    <t>PQ625102, PQ624999, PQ624894</t>
  </si>
  <si>
    <t>PQ625178, PQ625103, PQ625000, PQ624895</t>
  </si>
  <si>
    <t>PQ625104, PQ625001, PQ624896</t>
  </si>
  <si>
    <t>PQ625105, PQ625002, PQ624897</t>
  </si>
  <si>
    <t>PQ625179, PQ625106, PQ625003, PQ624898</t>
  </si>
  <si>
    <t>PQ625107, PQ625004, PQ624899</t>
  </si>
  <si>
    <t>PQ625180, PQ625108, PQ625005, PQ624900</t>
  </si>
  <si>
    <t>PQ625109, PQ625006, PQ624901</t>
  </si>
  <si>
    <t>PQ625110, PQ625007, PQ624902</t>
  </si>
  <si>
    <t>PQ625181, PQ625111, PQ625008, PQ624903</t>
  </si>
  <si>
    <t>PQ625182, PQ625112, PQ625009, PQ624904</t>
  </si>
  <si>
    <t>PQ625183, PQ625113, PQ625010, PQ624905</t>
  </si>
  <si>
    <t>PQ625184, PQ625114, PQ625011, PQ624906</t>
  </si>
  <si>
    <t>PQ625185, PQ625115, PQ625012, PQ624907</t>
  </si>
  <si>
    <t>PQ625116, PQ625013, PQ624908</t>
  </si>
  <si>
    <t>PQ625186, PQ625117, PQ625014, PQ624909</t>
  </si>
  <si>
    <t>PQ625187, PQ625188, PQ625118, PQ625015, PQ624910</t>
  </si>
  <si>
    <t>PQ625189, PQ625016, PQ624911</t>
  </si>
  <si>
    <t>PQ625190, PQ625119, PQ625017, PQ624912</t>
  </si>
  <si>
    <t>PQ625018, PQ624913</t>
  </si>
  <si>
    <t>PQ625191, PQ625120, PQ625019, PQ624914</t>
  </si>
  <si>
    <t>PQ625192, PQ625193, PQ625121, PQ625020, PQ624915</t>
  </si>
  <si>
    <t>PQ625122, PQ625021, PQ624916</t>
  </si>
  <si>
    <t>PQ625123, PQ625022, PQ624917</t>
  </si>
  <si>
    <t>PQ625194, PQ625124, PQ625125, PQ625023, PQ625024, PQ624918, PQ624919</t>
  </si>
  <si>
    <t>PQ625127, PQ625026, PQ624922</t>
  </si>
  <si>
    <t>PQ625196, PQ625128, PQ625027, PQ624923</t>
  </si>
  <si>
    <t>PQ625129, PQ625028, PQ624924</t>
  </si>
  <si>
    <t>PQ625130, PQ625029, PQ624925</t>
  </si>
  <si>
    <t>PQ625131, PQ625030, PQ624926</t>
  </si>
  <si>
    <t>PQ625132, PQ625031, PQ624927</t>
  </si>
  <si>
    <t>PQ625133, PQ625032, PQ624928</t>
  </si>
  <si>
    <t>PQ625134, PQ625033, PQ624929</t>
  </si>
  <si>
    <t>PQ625135, PQ625034, PQ624930</t>
  </si>
  <si>
    <t>PQ625197, PQ625136, PQ625035, PQ624931</t>
  </si>
  <si>
    <t>PQ625198, PQ625137, PQ625036, PQ624932</t>
  </si>
  <si>
    <t>PQ625138, PQ625037, PQ624933</t>
  </si>
  <si>
    <t>PQ625139, PQ625038, PQ624934</t>
  </si>
  <si>
    <t>PQ625140, PQ625039, PQ624935</t>
  </si>
  <si>
    <t>PQ625199, PQ625141, PQ625040, PQ624936, PQ624937</t>
  </si>
  <si>
    <t>PQ625200, PQ625041, PQ624938</t>
  </si>
  <si>
    <t>PQ625201, PQ625202, PQ625142, PQ625042, PQ624939</t>
  </si>
  <si>
    <t>PQ625203, PQ625143, PQ625043, PQ624940</t>
  </si>
  <si>
    <t>PQ625204, PQ625144, PQ625145, PQ625044, PQ625045, PQ624941, PQ624942</t>
  </si>
  <si>
    <t>PQ625206, PQ625146, PQ625048, PQ624943</t>
  </si>
  <si>
    <t>PQ625207, PQ625147, PQ625049, PQ624944</t>
  </si>
  <si>
    <t>PQ625210, PQ625149, PQ625051, PQ624947</t>
  </si>
  <si>
    <t>PQ625211, PQ625150, PQ625052, PQ624948</t>
  </si>
  <si>
    <t>PQ625212, PQ625053, PQ624949</t>
  </si>
  <si>
    <t>PQ625213, PQ625151, PQ625054, PQ624950</t>
  </si>
  <si>
    <t>PQ625152, PQ625055, PQ624951</t>
  </si>
  <si>
    <t>PQ625214, PQ625153, PQ625056, PQ624952</t>
  </si>
  <si>
    <t>Sample ID</t>
  </si>
  <si>
    <t>Yes</t>
  </si>
  <si>
    <t>No</t>
  </si>
  <si>
    <t>co</t>
  </si>
  <si>
    <t>sin</t>
  </si>
  <si>
    <t>infection_status</t>
  </si>
  <si>
    <t>clade</t>
  </si>
  <si>
    <t>A_B</t>
  </si>
  <si>
    <t>Wabash</t>
  </si>
  <si>
    <t>Elm</t>
  </si>
  <si>
    <t>Linden</t>
  </si>
  <si>
    <t>Adobe</t>
  </si>
  <si>
    <t>Briarwood</t>
  </si>
  <si>
    <t>Rampart</t>
  </si>
  <si>
    <t>Cushman</t>
  </si>
  <si>
    <t>Myrtle</t>
  </si>
  <si>
    <t>JFK Parkway</t>
  </si>
  <si>
    <t>Toftrees</t>
  </si>
  <si>
    <t>Williamsburg</t>
  </si>
  <si>
    <t>James</t>
  </si>
  <si>
    <t>Michener</t>
  </si>
  <si>
    <t>SRR30712328</t>
  </si>
  <si>
    <t>SRR30712319</t>
  </si>
  <si>
    <t>SRR30712325</t>
  </si>
  <si>
    <t>SRR30712316</t>
  </si>
  <si>
    <t>SRR30712320</t>
  </si>
  <si>
    <t>SRR30712323</t>
  </si>
  <si>
    <t>SRR30712326</t>
  </si>
  <si>
    <t>SRR30712317</t>
  </si>
  <si>
    <t>SRR30712321</t>
  </si>
  <si>
    <t>SRR30712318</t>
  </si>
  <si>
    <t>SRR30712327</t>
  </si>
  <si>
    <t>SRR30712324</t>
  </si>
  <si>
    <t>SRR30712331</t>
  </si>
  <si>
    <t>SRR30712322</t>
  </si>
  <si>
    <t>SRR30712329</t>
  </si>
  <si>
    <t>SRR30712330</t>
  </si>
  <si>
    <t>SRR30712308</t>
  </si>
  <si>
    <t>SRR30712314</t>
  </si>
  <si>
    <t>SRR30712299</t>
  </si>
  <si>
    <t>SRR30712315</t>
  </si>
  <si>
    <t>SRR30712295</t>
  </si>
  <si>
    <t>SRR30712289</t>
  </si>
  <si>
    <t>SRR30712291</t>
  </si>
  <si>
    <t>SRR30712293</t>
  </si>
  <si>
    <t>SRR30712296</t>
  </si>
  <si>
    <t>SRR30712292</t>
  </si>
  <si>
    <t>SRR30712290</t>
  </si>
  <si>
    <t>SRR30712313</t>
  </si>
  <si>
    <t>SRR30712305</t>
  </si>
  <si>
    <t>SRR30712312</t>
  </si>
  <si>
    <t>SRR30712301</t>
  </si>
  <si>
    <t>SRR30712302</t>
  </si>
  <si>
    <t>SRR30712303</t>
  </si>
  <si>
    <t>SRR30712307</t>
  </si>
  <si>
    <t>SRR30712306</t>
  </si>
  <si>
    <t>SRR30712304</t>
  </si>
  <si>
    <t>SRR30712311</t>
  </si>
  <si>
    <t>SRR30712310</t>
  </si>
  <si>
    <t>SRR30712300</t>
  </si>
  <si>
    <t>SRR30712309</t>
  </si>
  <si>
    <t>SRR30712294</t>
  </si>
  <si>
    <t>SRR30712298</t>
  </si>
  <si>
    <t>SRR30712285</t>
  </si>
  <si>
    <t>SRR30712297</t>
  </si>
  <si>
    <t>SRR30712288</t>
  </si>
  <si>
    <t>SRR30712287</t>
  </si>
  <si>
    <t>SRR30712284</t>
  </si>
  <si>
    <t>SRR30712286</t>
  </si>
  <si>
    <t>SRR30712275</t>
  </si>
  <si>
    <t>SRR30712264</t>
  </si>
  <si>
    <t>SRR30712267</t>
  </si>
  <si>
    <t>SRR30712274</t>
  </si>
  <si>
    <t>SRR30712270</t>
  </si>
  <si>
    <t>SRR30712280</t>
  </si>
  <si>
    <t>SRR30712278</t>
  </si>
  <si>
    <t>SRR30712266</t>
  </si>
  <si>
    <t>SRR30712277</t>
  </si>
  <si>
    <t>SRR30712273</t>
  </si>
  <si>
    <t>SRR30712271</t>
  </si>
  <si>
    <t>SRR30712269</t>
  </si>
  <si>
    <t>SRR30712256</t>
  </si>
  <si>
    <t>SRR30712252</t>
  </si>
  <si>
    <t>SRR30712251</t>
  </si>
  <si>
    <t>SRR30712257</t>
  </si>
  <si>
    <t>SRR30712258</t>
  </si>
  <si>
    <t>SRR30712259</t>
  </si>
  <si>
    <t>SRR30712253</t>
  </si>
  <si>
    <t>SRR30712250</t>
  </si>
  <si>
    <t>SRR30712262</t>
  </si>
  <si>
    <t>SRR30712248</t>
  </si>
  <si>
    <t>SRR30712255</t>
  </si>
  <si>
    <t>SRR30712254</t>
  </si>
  <si>
    <t>SRR30712281</t>
  </si>
  <si>
    <t>SRR30712272</t>
  </si>
  <si>
    <t>SRR30712279</t>
  </si>
  <si>
    <t>SRR30712265</t>
  </si>
  <si>
    <t>SRR30712283</t>
  </si>
  <si>
    <t>SRR30712268</t>
  </si>
  <si>
    <t>SRR30712282</t>
  </si>
  <si>
    <t>SRR30712276</t>
  </si>
  <si>
    <t>SRR30712261</t>
  </si>
  <si>
    <t>SRR30712263</t>
  </si>
  <si>
    <t>SRR30712260</t>
  </si>
  <si>
    <t>SRR30712237</t>
  </si>
  <si>
    <t>SRR30712244</t>
  </si>
  <si>
    <t>SRR30712246</t>
  </si>
  <si>
    <t>SRR30712241</t>
  </si>
  <si>
    <t>SRR30712239</t>
  </si>
  <si>
    <t>SRR30712245</t>
  </si>
  <si>
    <t>SRR30712247</t>
  </si>
  <si>
    <t>SRR30712242</t>
  </si>
  <si>
    <t>SRR30712234</t>
  </si>
  <si>
    <t>SRR30712233</t>
  </si>
  <si>
    <t>SRR30712238</t>
  </si>
  <si>
    <t>SRR30712235</t>
  </si>
  <si>
    <t>SRR30712243</t>
  </si>
  <si>
    <t>SRR30712219</t>
  </si>
  <si>
    <t>SRR30712208</t>
  </si>
  <si>
    <t>SRR30712214</t>
  </si>
  <si>
    <t>SRR30712206</t>
  </si>
  <si>
    <t>SRR30712205</t>
  </si>
  <si>
    <t>SRR30712226</t>
  </si>
  <si>
    <t>SRR30712221</t>
  </si>
  <si>
    <t>SRR30712224</t>
  </si>
  <si>
    <t>SRR30712230</t>
  </si>
  <si>
    <t>SRR30712223</t>
  </si>
  <si>
    <t>SRR30712231</t>
  </si>
  <si>
    <t>SRR30712217</t>
  </si>
  <si>
    <t>SRR30712220</t>
  </si>
  <si>
    <t>SRR30712225</t>
  </si>
  <si>
    <t>SRR30712218</t>
  </si>
  <si>
    <t>SRR30712227</t>
  </si>
  <si>
    <t>SRR30712228</t>
  </si>
  <si>
    <t>SRR30712229</t>
  </si>
  <si>
    <t>SRR30712232</t>
  </si>
  <si>
    <t>SRR30712222</t>
  </si>
  <si>
    <t>SRR30712209</t>
  </si>
  <si>
    <t>SRR30712207</t>
  </si>
  <si>
    <t>SRR30712215</t>
  </si>
  <si>
    <t>SRR30712212</t>
  </si>
  <si>
    <t>SRR30712213</t>
  </si>
  <si>
    <t>SRR30712210</t>
  </si>
  <si>
    <t>SRR30712216</t>
  </si>
  <si>
    <t>SRR30712193</t>
  </si>
  <si>
    <t>SRR30712198</t>
  </si>
  <si>
    <t>SRR30712195</t>
  </si>
  <si>
    <t>SRR30712192</t>
  </si>
  <si>
    <t>SRR30712199</t>
  </si>
  <si>
    <t>SRR30712196</t>
  </si>
  <si>
    <t>SRR30712197</t>
  </si>
  <si>
    <t>SRR30712190</t>
  </si>
  <si>
    <t>SRR30712194</t>
  </si>
  <si>
    <t>SRR30712204</t>
  </si>
  <si>
    <t>SRR30712201</t>
  </si>
  <si>
    <t>SRR30712191</t>
  </si>
  <si>
    <t>SRR30712200</t>
  </si>
  <si>
    <t>SRR30712187</t>
  </si>
  <si>
    <t>SRR30712178</t>
  </si>
  <si>
    <t>SRR30712189</t>
  </si>
  <si>
    <t>SRR30712182</t>
  </si>
  <si>
    <t>SRR30712184</t>
  </si>
  <si>
    <t>SRR30712177</t>
  </si>
  <si>
    <t>SRR30712188</t>
  </si>
  <si>
    <t>SRR30712203</t>
  </si>
  <si>
    <t>SRR30712202</t>
  </si>
  <si>
    <t>SRR30712240</t>
  </si>
  <si>
    <t>Number of galbut and chaq virus reads (RPM)</t>
  </si>
  <si>
    <t>Coding-complete galbut virus sequence</t>
  </si>
  <si>
    <t>Coding-complete chaq virus sequence</t>
  </si>
  <si>
    <t>SRA accession</t>
  </si>
  <si>
    <t>Laurel</t>
  </si>
  <si>
    <t>Birch</t>
  </si>
  <si>
    <t>Street Collected</t>
  </si>
  <si>
    <t>State Collected</t>
  </si>
  <si>
    <t>NCBI nucleotide accession</t>
  </si>
  <si>
    <t>Heatheridge</t>
  </si>
  <si>
    <t>Species Identification (1)</t>
  </si>
  <si>
    <t>(1) Species identification determined by CO1 mapping</t>
  </si>
  <si>
    <t>D. melanogaster</t>
  </si>
  <si>
    <t>D. simulans (2)</t>
  </si>
  <si>
    <t>(2) Species identified as D. simluans by CO1 mapping but D. melanogaster by rRNA ITS</t>
  </si>
  <si>
    <t>(3) Sequence Read Archive</t>
  </si>
  <si>
    <t>SRA accession (3)</t>
  </si>
  <si>
    <t>PQ625205, PQ625046</t>
  </si>
  <si>
    <t>PQ625209, PQ625148, PQ625050, PQ624945</t>
  </si>
  <si>
    <t>PQ625195, PQ625126, PQ625025, PQ624920</t>
  </si>
  <si>
    <t>PQ625126, PQ625025, PQ624920</t>
  </si>
  <si>
    <t>submit_co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</si>
</sst>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0"/>
      <name val="Aptos Narrow"/>
      <scheme val="minor"/>
    </font>
    <font>
      <sz val="12"/>
      <name val="Aptos Narrow"/>
      <scheme val="minor"/>
    </font>
    <font>
      <sz val="12"/>
      <name val="Aptos Narrow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10" fillId="0" borderId="0" xfId="0" applyNumberFormat="1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2" fontId="7" fillId="0" borderId="0" xfId="0" quotePrefix="1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9A2096-BED9-7B46-A796-064F648C66D5}" name="Table2" displayName="Table2" ref="A1:I153" totalsRowShown="0" headerRowDxfId="9" headerRowBorderDxfId="8" tableBorderDxfId="7">
  <autoFilter ref="A1:I153" xr:uid="{A79A2096-BED9-7B46-A796-064F648C66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EDE705D-403C-4C43-89F6-5C403C0027EB}" name="Sample ID" dataDxfId="6"/>
    <tableColumn id="2" xr3:uid="{3F745AEA-D58F-134F-8A54-F8817459A1EB}" name="State Collected" dataDxfId="5"/>
    <tableColumn id="31" xr3:uid="{14087FE1-AB42-774F-96BF-909ECDAACF7B}" name="Street Collected" dataDxfId="4"/>
    <tableColumn id="3" xr3:uid="{62FF1B7B-2A57-CE4B-AB8D-081480DCC732}" name="Species Identification (1)"/>
    <tableColumn id="5" xr3:uid="{B91566AC-C5C2-D14B-829E-860C6D73432D}" name="Coding-complete galbut virus sequence" dataDxfId="3"/>
    <tableColumn id="13" xr3:uid="{FE3EEC72-B3E7-7844-BDC6-FFBEE298B5FD}" name="Coding-complete chaq virus sequence" dataDxfId="2"/>
    <tableColumn id="28" xr3:uid="{8C2EE667-FA9A-A340-BF35-BE7916D06A36}" name="NCBI nucleotide accession"/>
    <tableColumn id="29" xr3:uid="{AE63B130-33D7-1C42-995C-DEFDD6F663FB}" name="SRA accession (3)" dataDxfId="1" dataCellStyle="Hyperlink"/>
    <tableColumn id="30" xr3:uid="{A4CDE417-F5D3-7C46-ACED-42D1BEFDE8A0}" name="Number of galbut and chaq virus reads (RPM)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view.ncbi.nlm.nih.gov/object/SRR30712229" TargetMode="External"/><Relationship Id="rId21" Type="http://schemas.openxmlformats.org/officeDocument/2006/relationships/hyperlink" Target="https://dataview.ncbi.nlm.nih.gov/object/SRR30712289" TargetMode="External"/><Relationship Id="rId42" Type="http://schemas.openxmlformats.org/officeDocument/2006/relationships/hyperlink" Target="https://dataview.ncbi.nlm.nih.gov/object/SRR30712298" TargetMode="External"/><Relationship Id="rId63" Type="http://schemas.openxmlformats.org/officeDocument/2006/relationships/hyperlink" Target="https://dataview.ncbi.nlm.nih.gov/object/SRR30712251" TargetMode="External"/><Relationship Id="rId84" Type="http://schemas.openxmlformats.org/officeDocument/2006/relationships/hyperlink" Target="https://dataview.ncbi.nlm.nih.gov/object/SRR30712260" TargetMode="External"/><Relationship Id="rId138" Type="http://schemas.openxmlformats.org/officeDocument/2006/relationships/hyperlink" Target="https://dataview.ncbi.nlm.nih.gov/object/SRR30712191" TargetMode="External"/><Relationship Id="rId107" Type="http://schemas.openxmlformats.org/officeDocument/2006/relationships/hyperlink" Target="https://dataview.ncbi.nlm.nih.gov/object/SRR30712224" TargetMode="External"/><Relationship Id="rId11" Type="http://schemas.openxmlformats.org/officeDocument/2006/relationships/hyperlink" Target="https://dataview.ncbi.nlm.nih.gov/object/SRR30712327" TargetMode="External"/><Relationship Id="rId32" Type="http://schemas.openxmlformats.org/officeDocument/2006/relationships/hyperlink" Target="https://dataview.ncbi.nlm.nih.gov/object/SRR30712302" TargetMode="External"/><Relationship Id="rId53" Type="http://schemas.openxmlformats.org/officeDocument/2006/relationships/hyperlink" Target="https://dataview.ncbi.nlm.nih.gov/object/SRR30712270" TargetMode="External"/><Relationship Id="rId74" Type="http://schemas.openxmlformats.org/officeDocument/2006/relationships/hyperlink" Target="https://dataview.ncbi.nlm.nih.gov/object/SRR30712272" TargetMode="External"/><Relationship Id="rId128" Type="http://schemas.openxmlformats.org/officeDocument/2006/relationships/hyperlink" Target="https://dataview.ncbi.nlm.nih.gov/object/SRR30712198" TargetMode="External"/><Relationship Id="rId149" Type="http://schemas.openxmlformats.org/officeDocument/2006/relationships/hyperlink" Target="https://dataview.ncbi.nlm.nih.gov/object/SRR30712240" TargetMode="External"/><Relationship Id="rId5" Type="http://schemas.openxmlformats.org/officeDocument/2006/relationships/hyperlink" Target="https://dataview.ncbi.nlm.nih.gov/object/SRR30712320" TargetMode="External"/><Relationship Id="rId95" Type="http://schemas.openxmlformats.org/officeDocument/2006/relationships/hyperlink" Target="https://dataview.ncbi.nlm.nih.gov/object/SRR30712238" TargetMode="External"/><Relationship Id="rId22" Type="http://schemas.openxmlformats.org/officeDocument/2006/relationships/hyperlink" Target="https://dataview.ncbi.nlm.nih.gov/object/SRR30712295" TargetMode="External"/><Relationship Id="rId27" Type="http://schemas.openxmlformats.org/officeDocument/2006/relationships/hyperlink" Target="https://dataview.ncbi.nlm.nih.gov/object/SRR30712290" TargetMode="External"/><Relationship Id="rId43" Type="http://schemas.openxmlformats.org/officeDocument/2006/relationships/hyperlink" Target="https://dataview.ncbi.nlm.nih.gov/object/SRR30712285" TargetMode="External"/><Relationship Id="rId48" Type="http://schemas.openxmlformats.org/officeDocument/2006/relationships/hyperlink" Target="https://dataview.ncbi.nlm.nih.gov/object/SRR30712286" TargetMode="External"/><Relationship Id="rId64" Type="http://schemas.openxmlformats.org/officeDocument/2006/relationships/hyperlink" Target="https://dataview.ncbi.nlm.nih.gov/object/SRR30712257" TargetMode="External"/><Relationship Id="rId69" Type="http://schemas.openxmlformats.org/officeDocument/2006/relationships/hyperlink" Target="https://dataview.ncbi.nlm.nih.gov/object/SRR30712262" TargetMode="External"/><Relationship Id="rId113" Type="http://schemas.openxmlformats.org/officeDocument/2006/relationships/hyperlink" Target="https://dataview.ncbi.nlm.nih.gov/object/SRR30712225" TargetMode="External"/><Relationship Id="rId118" Type="http://schemas.openxmlformats.org/officeDocument/2006/relationships/hyperlink" Target="https://dataview.ncbi.nlm.nih.gov/object/SRR30712232" TargetMode="External"/><Relationship Id="rId134" Type="http://schemas.openxmlformats.org/officeDocument/2006/relationships/hyperlink" Target="https://dataview.ncbi.nlm.nih.gov/object/SRR30712190" TargetMode="External"/><Relationship Id="rId139" Type="http://schemas.openxmlformats.org/officeDocument/2006/relationships/hyperlink" Target="https://dataview.ncbi.nlm.nih.gov/object/SRR30712200" TargetMode="External"/><Relationship Id="rId80" Type="http://schemas.openxmlformats.org/officeDocument/2006/relationships/hyperlink" Target="https://dataview.ncbi.nlm.nih.gov/object/SRR30712276" TargetMode="External"/><Relationship Id="rId85" Type="http://schemas.openxmlformats.org/officeDocument/2006/relationships/hyperlink" Target="https://dataview.ncbi.nlm.nih.gov/object/SRR30712237" TargetMode="External"/><Relationship Id="rId12" Type="http://schemas.openxmlformats.org/officeDocument/2006/relationships/hyperlink" Target="https://dataview.ncbi.nlm.nih.gov/object/SRR30712324" TargetMode="External"/><Relationship Id="rId17" Type="http://schemas.openxmlformats.org/officeDocument/2006/relationships/hyperlink" Target="https://dataview.ncbi.nlm.nih.gov/object/SRR30712308" TargetMode="External"/><Relationship Id="rId33" Type="http://schemas.openxmlformats.org/officeDocument/2006/relationships/hyperlink" Target="https://dataview.ncbi.nlm.nih.gov/object/SRR30712303" TargetMode="External"/><Relationship Id="rId38" Type="http://schemas.openxmlformats.org/officeDocument/2006/relationships/hyperlink" Target="https://dataview.ncbi.nlm.nih.gov/object/SRR30712310" TargetMode="External"/><Relationship Id="rId59" Type="http://schemas.openxmlformats.org/officeDocument/2006/relationships/hyperlink" Target="https://dataview.ncbi.nlm.nih.gov/object/SRR30712271" TargetMode="External"/><Relationship Id="rId103" Type="http://schemas.openxmlformats.org/officeDocument/2006/relationships/hyperlink" Target="https://dataview.ncbi.nlm.nih.gov/object/SRR30712206" TargetMode="External"/><Relationship Id="rId108" Type="http://schemas.openxmlformats.org/officeDocument/2006/relationships/hyperlink" Target="https://dataview.ncbi.nlm.nih.gov/object/SRR30712230" TargetMode="External"/><Relationship Id="rId124" Type="http://schemas.openxmlformats.org/officeDocument/2006/relationships/hyperlink" Target="https://dataview.ncbi.nlm.nih.gov/object/SRR30712213" TargetMode="External"/><Relationship Id="rId129" Type="http://schemas.openxmlformats.org/officeDocument/2006/relationships/hyperlink" Target="https://dataview.ncbi.nlm.nih.gov/object/SRR30712195" TargetMode="External"/><Relationship Id="rId54" Type="http://schemas.openxmlformats.org/officeDocument/2006/relationships/hyperlink" Target="https://dataview.ncbi.nlm.nih.gov/object/SRR30712280" TargetMode="External"/><Relationship Id="rId70" Type="http://schemas.openxmlformats.org/officeDocument/2006/relationships/hyperlink" Target="https://dataview.ncbi.nlm.nih.gov/object/SRR30712248" TargetMode="External"/><Relationship Id="rId75" Type="http://schemas.openxmlformats.org/officeDocument/2006/relationships/hyperlink" Target="https://dataview.ncbi.nlm.nih.gov/object/SRR30712279" TargetMode="External"/><Relationship Id="rId91" Type="http://schemas.openxmlformats.org/officeDocument/2006/relationships/hyperlink" Target="https://dataview.ncbi.nlm.nih.gov/object/SRR30712247" TargetMode="External"/><Relationship Id="rId96" Type="http://schemas.openxmlformats.org/officeDocument/2006/relationships/hyperlink" Target="https://dataview.ncbi.nlm.nih.gov/object/SRR30712235" TargetMode="External"/><Relationship Id="rId140" Type="http://schemas.openxmlformats.org/officeDocument/2006/relationships/hyperlink" Target="https://dataview.ncbi.nlm.nih.gov/object/SRR30712187" TargetMode="External"/><Relationship Id="rId145" Type="http://schemas.openxmlformats.org/officeDocument/2006/relationships/hyperlink" Target="https://dataview.ncbi.nlm.nih.gov/object/SRR30712177" TargetMode="External"/><Relationship Id="rId1" Type="http://schemas.openxmlformats.org/officeDocument/2006/relationships/hyperlink" Target="https://dataview.ncbi.nlm.nih.gov/object/SRR30712328" TargetMode="External"/><Relationship Id="rId6" Type="http://schemas.openxmlformats.org/officeDocument/2006/relationships/hyperlink" Target="https://dataview.ncbi.nlm.nih.gov/object/SRR30712323" TargetMode="External"/><Relationship Id="rId23" Type="http://schemas.openxmlformats.org/officeDocument/2006/relationships/hyperlink" Target="https://dataview.ncbi.nlm.nih.gov/object/SRR30712291" TargetMode="External"/><Relationship Id="rId28" Type="http://schemas.openxmlformats.org/officeDocument/2006/relationships/hyperlink" Target="https://dataview.ncbi.nlm.nih.gov/object/SRR30712313" TargetMode="External"/><Relationship Id="rId49" Type="http://schemas.openxmlformats.org/officeDocument/2006/relationships/hyperlink" Target="https://dataview.ncbi.nlm.nih.gov/object/SRR30712275" TargetMode="External"/><Relationship Id="rId114" Type="http://schemas.openxmlformats.org/officeDocument/2006/relationships/hyperlink" Target="https://dataview.ncbi.nlm.nih.gov/object/SRR30712218" TargetMode="External"/><Relationship Id="rId119" Type="http://schemas.openxmlformats.org/officeDocument/2006/relationships/hyperlink" Target="https://dataview.ncbi.nlm.nih.gov/object/SRR30712222" TargetMode="External"/><Relationship Id="rId44" Type="http://schemas.openxmlformats.org/officeDocument/2006/relationships/hyperlink" Target="https://dataview.ncbi.nlm.nih.gov/object/SRR30712297" TargetMode="External"/><Relationship Id="rId60" Type="http://schemas.openxmlformats.org/officeDocument/2006/relationships/hyperlink" Target="https://dataview.ncbi.nlm.nih.gov/object/SRR30712269" TargetMode="External"/><Relationship Id="rId65" Type="http://schemas.openxmlformats.org/officeDocument/2006/relationships/hyperlink" Target="https://dataview.ncbi.nlm.nih.gov/object/SRR30712258" TargetMode="External"/><Relationship Id="rId81" Type="http://schemas.openxmlformats.org/officeDocument/2006/relationships/hyperlink" Target="https://dataview.ncbi.nlm.nih.gov/object/SRR30712276" TargetMode="External"/><Relationship Id="rId86" Type="http://schemas.openxmlformats.org/officeDocument/2006/relationships/hyperlink" Target="https://dataview.ncbi.nlm.nih.gov/object/SRR30712244" TargetMode="External"/><Relationship Id="rId130" Type="http://schemas.openxmlformats.org/officeDocument/2006/relationships/hyperlink" Target="https://dataview.ncbi.nlm.nih.gov/object/SRR30712192" TargetMode="External"/><Relationship Id="rId135" Type="http://schemas.openxmlformats.org/officeDocument/2006/relationships/hyperlink" Target="https://dataview.ncbi.nlm.nih.gov/object/SRR30712194" TargetMode="External"/><Relationship Id="rId13" Type="http://schemas.openxmlformats.org/officeDocument/2006/relationships/hyperlink" Target="https://dataview.ncbi.nlm.nih.gov/object/SRR30712331" TargetMode="External"/><Relationship Id="rId18" Type="http://schemas.openxmlformats.org/officeDocument/2006/relationships/hyperlink" Target="https://dataview.ncbi.nlm.nih.gov/object/SRR30712314" TargetMode="External"/><Relationship Id="rId39" Type="http://schemas.openxmlformats.org/officeDocument/2006/relationships/hyperlink" Target="https://dataview.ncbi.nlm.nih.gov/object/SRR30712300" TargetMode="External"/><Relationship Id="rId109" Type="http://schemas.openxmlformats.org/officeDocument/2006/relationships/hyperlink" Target="https://dataview.ncbi.nlm.nih.gov/object/SRR30712223" TargetMode="External"/><Relationship Id="rId34" Type="http://schemas.openxmlformats.org/officeDocument/2006/relationships/hyperlink" Target="https://dataview.ncbi.nlm.nih.gov/object/SRR30712307" TargetMode="External"/><Relationship Id="rId50" Type="http://schemas.openxmlformats.org/officeDocument/2006/relationships/hyperlink" Target="https://dataview.ncbi.nlm.nih.gov/object/SRR30712264" TargetMode="External"/><Relationship Id="rId55" Type="http://schemas.openxmlformats.org/officeDocument/2006/relationships/hyperlink" Target="https://dataview.ncbi.nlm.nih.gov/object/SRR30712278" TargetMode="External"/><Relationship Id="rId76" Type="http://schemas.openxmlformats.org/officeDocument/2006/relationships/hyperlink" Target="https://dataview.ncbi.nlm.nih.gov/object/SRR30712265" TargetMode="External"/><Relationship Id="rId97" Type="http://schemas.openxmlformats.org/officeDocument/2006/relationships/hyperlink" Target="https://dataview.ncbi.nlm.nih.gov/object/SRR30712243" TargetMode="External"/><Relationship Id="rId104" Type="http://schemas.openxmlformats.org/officeDocument/2006/relationships/hyperlink" Target="https://dataview.ncbi.nlm.nih.gov/object/SRR30712205" TargetMode="External"/><Relationship Id="rId120" Type="http://schemas.openxmlformats.org/officeDocument/2006/relationships/hyperlink" Target="https://dataview.ncbi.nlm.nih.gov/object/SRR30712209" TargetMode="External"/><Relationship Id="rId125" Type="http://schemas.openxmlformats.org/officeDocument/2006/relationships/hyperlink" Target="https://dataview.ncbi.nlm.nih.gov/object/SRR30712210" TargetMode="External"/><Relationship Id="rId141" Type="http://schemas.openxmlformats.org/officeDocument/2006/relationships/hyperlink" Target="https://dataview.ncbi.nlm.nih.gov/object/SRR30712178" TargetMode="External"/><Relationship Id="rId146" Type="http://schemas.openxmlformats.org/officeDocument/2006/relationships/hyperlink" Target="https://dataview.ncbi.nlm.nih.gov/object/SRR30712188" TargetMode="External"/><Relationship Id="rId7" Type="http://schemas.openxmlformats.org/officeDocument/2006/relationships/hyperlink" Target="https://dataview.ncbi.nlm.nih.gov/object/SRR30712326" TargetMode="External"/><Relationship Id="rId71" Type="http://schemas.openxmlformats.org/officeDocument/2006/relationships/hyperlink" Target="https://dataview.ncbi.nlm.nih.gov/object/SRR30712255" TargetMode="External"/><Relationship Id="rId92" Type="http://schemas.openxmlformats.org/officeDocument/2006/relationships/hyperlink" Target="https://dataview.ncbi.nlm.nih.gov/object/SRR30712242" TargetMode="External"/><Relationship Id="rId2" Type="http://schemas.openxmlformats.org/officeDocument/2006/relationships/hyperlink" Target="https://dataview.ncbi.nlm.nih.gov/object/SRR30712319" TargetMode="External"/><Relationship Id="rId29" Type="http://schemas.openxmlformats.org/officeDocument/2006/relationships/hyperlink" Target="https://dataview.ncbi.nlm.nih.gov/object/SRR30712305" TargetMode="External"/><Relationship Id="rId24" Type="http://schemas.openxmlformats.org/officeDocument/2006/relationships/hyperlink" Target="https://dataview.ncbi.nlm.nih.gov/object/SRR30712293" TargetMode="External"/><Relationship Id="rId40" Type="http://schemas.openxmlformats.org/officeDocument/2006/relationships/hyperlink" Target="https://dataview.ncbi.nlm.nih.gov/object/SRR30712309" TargetMode="External"/><Relationship Id="rId45" Type="http://schemas.openxmlformats.org/officeDocument/2006/relationships/hyperlink" Target="https://dataview.ncbi.nlm.nih.gov/object/SRR30712288" TargetMode="External"/><Relationship Id="rId66" Type="http://schemas.openxmlformats.org/officeDocument/2006/relationships/hyperlink" Target="https://dataview.ncbi.nlm.nih.gov/object/SRR30712259" TargetMode="External"/><Relationship Id="rId87" Type="http://schemas.openxmlformats.org/officeDocument/2006/relationships/hyperlink" Target="https://dataview.ncbi.nlm.nih.gov/object/SRR30712246" TargetMode="External"/><Relationship Id="rId110" Type="http://schemas.openxmlformats.org/officeDocument/2006/relationships/hyperlink" Target="https://dataview.ncbi.nlm.nih.gov/object/SRR30712231" TargetMode="External"/><Relationship Id="rId115" Type="http://schemas.openxmlformats.org/officeDocument/2006/relationships/hyperlink" Target="https://dataview.ncbi.nlm.nih.gov/object/SRR30712227" TargetMode="External"/><Relationship Id="rId131" Type="http://schemas.openxmlformats.org/officeDocument/2006/relationships/hyperlink" Target="https://dataview.ncbi.nlm.nih.gov/object/SRR30712199" TargetMode="External"/><Relationship Id="rId136" Type="http://schemas.openxmlformats.org/officeDocument/2006/relationships/hyperlink" Target="https://dataview.ncbi.nlm.nih.gov/object/SRR30712204" TargetMode="External"/><Relationship Id="rId61" Type="http://schemas.openxmlformats.org/officeDocument/2006/relationships/hyperlink" Target="https://dataview.ncbi.nlm.nih.gov/object/SRR30712256" TargetMode="External"/><Relationship Id="rId82" Type="http://schemas.openxmlformats.org/officeDocument/2006/relationships/hyperlink" Target="https://dataview.ncbi.nlm.nih.gov/object/SRR30712261" TargetMode="External"/><Relationship Id="rId19" Type="http://schemas.openxmlformats.org/officeDocument/2006/relationships/hyperlink" Target="https://dataview.ncbi.nlm.nih.gov/object/SRR30712299" TargetMode="External"/><Relationship Id="rId14" Type="http://schemas.openxmlformats.org/officeDocument/2006/relationships/hyperlink" Target="https://dataview.ncbi.nlm.nih.gov/object/SRR30712322" TargetMode="External"/><Relationship Id="rId30" Type="http://schemas.openxmlformats.org/officeDocument/2006/relationships/hyperlink" Target="https://dataview.ncbi.nlm.nih.gov/object/SRR30712312" TargetMode="External"/><Relationship Id="rId35" Type="http://schemas.openxmlformats.org/officeDocument/2006/relationships/hyperlink" Target="https://dataview.ncbi.nlm.nih.gov/object/SRR30712306" TargetMode="External"/><Relationship Id="rId56" Type="http://schemas.openxmlformats.org/officeDocument/2006/relationships/hyperlink" Target="https://dataview.ncbi.nlm.nih.gov/object/SRR30712266" TargetMode="External"/><Relationship Id="rId77" Type="http://schemas.openxmlformats.org/officeDocument/2006/relationships/hyperlink" Target="https://dataview.ncbi.nlm.nih.gov/object/SRR30712283" TargetMode="External"/><Relationship Id="rId100" Type="http://schemas.openxmlformats.org/officeDocument/2006/relationships/hyperlink" Target="https://dataview.ncbi.nlm.nih.gov/object/SRR30712208" TargetMode="External"/><Relationship Id="rId105" Type="http://schemas.openxmlformats.org/officeDocument/2006/relationships/hyperlink" Target="https://dataview.ncbi.nlm.nih.gov/object/SRR30712226" TargetMode="External"/><Relationship Id="rId126" Type="http://schemas.openxmlformats.org/officeDocument/2006/relationships/hyperlink" Target="https://dataview.ncbi.nlm.nih.gov/object/SRR30712216" TargetMode="External"/><Relationship Id="rId147" Type="http://schemas.openxmlformats.org/officeDocument/2006/relationships/hyperlink" Target="https://dataview.ncbi.nlm.nih.gov/object/SRR30712203" TargetMode="External"/><Relationship Id="rId8" Type="http://schemas.openxmlformats.org/officeDocument/2006/relationships/hyperlink" Target="https://dataview.ncbi.nlm.nih.gov/object/SRR30712317" TargetMode="External"/><Relationship Id="rId51" Type="http://schemas.openxmlformats.org/officeDocument/2006/relationships/hyperlink" Target="https://dataview.ncbi.nlm.nih.gov/object/SRR30712267" TargetMode="External"/><Relationship Id="rId72" Type="http://schemas.openxmlformats.org/officeDocument/2006/relationships/hyperlink" Target="https://dataview.ncbi.nlm.nih.gov/object/SRR30712254" TargetMode="External"/><Relationship Id="rId93" Type="http://schemas.openxmlformats.org/officeDocument/2006/relationships/hyperlink" Target="https://dataview.ncbi.nlm.nih.gov/object/SRR30712234" TargetMode="External"/><Relationship Id="rId98" Type="http://schemas.openxmlformats.org/officeDocument/2006/relationships/hyperlink" Target="https://dataview.ncbi.nlm.nih.gov/object/SRR30712243" TargetMode="External"/><Relationship Id="rId121" Type="http://schemas.openxmlformats.org/officeDocument/2006/relationships/hyperlink" Target="https://dataview.ncbi.nlm.nih.gov/object/SRR30712207" TargetMode="External"/><Relationship Id="rId142" Type="http://schemas.openxmlformats.org/officeDocument/2006/relationships/hyperlink" Target="https://dataview.ncbi.nlm.nih.gov/object/SRR30712189" TargetMode="External"/><Relationship Id="rId3" Type="http://schemas.openxmlformats.org/officeDocument/2006/relationships/hyperlink" Target="https://dataview.ncbi.nlm.nih.gov/object/SRR30712325" TargetMode="External"/><Relationship Id="rId25" Type="http://schemas.openxmlformats.org/officeDocument/2006/relationships/hyperlink" Target="https://dataview.ncbi.nlm.nih.gov/object/SRR30712296" TargetMode="External"/><Relationship Id="rId46" Type="http://schemas.openxmlformats.org/officeDocument/2006/relationships/hyperlink" Target="https://dataview.ncbi.nlm.nih.gov/object/SRR30712287" TargetMode="External"/><Relationship Id="rId67" Type="http://schemas.openxmlformats.org/officeDocument/2006/relationships/hyperlink" Target="https://dataview.ncbi.nlm.nih.gov/object/SRR30712253" TargetMode="External"/><Relationship Id="rId116" Type="http://schemas.openxmlformats.org/officeDocument/2006/relationships/hyperlink" Target="https://dataview.ncbi.nlm.nih.gov/object/SRR30712228" TargetMode="External"/><Relationship Id="rId137" Type="http://schemas.openxmlformats.org/officeDocument/2006/relationships/hyperlink" Target="https://dataview.ncbi.nlm.nih.gov/object/SRR30712201" TargetMode="External"/><Relationship Id="rId20" Type="http://schemas.openxmlformats.org/officeDocument/2006/relationships/hyperlink" Target="https://dataview.ncbi.nlm.nih.gov/object/SRR30712315" TargetMode="External"/><Relationship Id="rId41" Type="http://schemas.openxmlformats.org/officeDocument/2006/relationships/hyperlink" Target="https://dataview.ncbi.nlm.nih.gov/object/SRR30712294" TargetMode="External"/><Relationship Id="rId62" Type="http://schemas.openxmlformats.org/officeDocument/2006/relationships/hyperlink" Target="https://dataview.ncbi.nlm.nih.gov/object/SRR30712252" TargetMode="External"/><Relationship Id="rId83" Type="http://schemas.openxmlformats.org/officeDocument/2006/relationships/hyperlink" Target="https://dataview.ncbi.nlm.nih.gov/object/SRR30712263" TargetMode="External"/><Relationship Id="rId88" Type="http://schemas.openxmlformats.org/officeDocument/2006/relationships/hyperlink" Target="https://dataview.ncbi.nlm.nih.gov/object/SRR30712241" TargetMode="External"/><Relationship Id="rId111" Type="http://schemas.openxmlformats.org/officeDocument/2006/relationships/hyperlink" Target="https://dataview.ncbi.nlm.nih.gov/object/SRR30712217" TargetMode="External"/><Relationship Id="rId132" Type="http://schemas.openxmlformats.org/officeDocument/2006/relationships/hyperlink" Target="https://dataview.ncbi.nlm.nih.gov/object/SRR30712196" TargetMode="External"/><Relationship Id="rId15" Type="http://schemas.openxmlformats.org/officeDocument/2006/relationships/hyperlink" Target="https://dataview.ncbi.nlm.nih.gov/object/SRR30712329" TargetMode="External"/><Relationship Id="rId36" Type="http://schemas.openxmlformats.org/officeDocument/2006/relationships/hyperlink" Target="https://dataview.ncbi.nlm.nih.gov/object/SRR30712304" TargetMode="External"/><Relationship Id="rId57" Type="http://schemas.openxmlformats.org/officeDocument/2006/relationships/hyperlink" Target="https://dataview.ncbi.nlm.nih.gov/object/SRR30712277" TargetMode="External"/><Relationship Id="rId106" Type="http://schemas.openxmlformats.org/officeDocument/2006/relationships/hyperlink" Target="https://dataview.ncbi.nlm.nih.gov/object/SRR30712221" TargetMode="External"/><Relationship Id="rId127" Type="http://schemas.openxmlformats.org/officeDocument/2006/relationships/hyperlink" Target="https://dataview.ncbi.nlm.nih.gov/object/SRR30712193" TargetMode="External"/><Relationship Id="rId10" Type="http://schemas.openxmlformats.org/officeDocument/2006/relationships/hyperlink" Target="https://dataview.ncbi.nlm.nih.gov/object/SRR30712318" TargetMode="External"/><Relationship Id="rId31" Type="http://schemas.openxmlformats.org/officeDocument/2006/relationships/hyperlink" Target="https://dataview.ncbi.nlm.nih.gov/object/SRR30712301" TargetMode="External"/><Relationship Id="rId52" Type="http://schemas.openxmlformats.org/officeDocument/2006/relationships/hyperlink" Target="https://dataview.ncbi.nlm.nih.gov/object/SRR30712274" TargetMode="External"/><Relationship Id="rId73" Type="http://schemas.openxmlformats.org/officeDocument/2006/relationships/hyperlink" Target="https://dataview.ncbi.nlm.nih.gov/object/SRR30712281" TargetMode="External"/><Relationship Id="rId78" Type="http://schemas.openxmlformats.org/officeDocument/2006/relationships/hyperlink" Target="https://dataview.ncbi.nlm.nih.gov/object/SRR30712268" TargetMode="External"/><Relationship Id="rId94" Type="http://schemas.openxmlformats.org/officeDocument/2006/relationships/hyperlink" Target="https://dataview.ncbi.nlm.nih.gov/object/SRR30712233" TargetMode="External"/><Relationship Id="rId99" Type="http://schemas.openxmlformats.org/officeDocument/2006/relationships/hyperlink" Target="https://dataview.ncbi.nlm.nih.gov/object/SRR30712219" TargetMode="External"/><Relationship Id="rId101" Type="http://schemas.openxmlformats.org/officeDocument/2006/relationships/hyperlink" Target="https://dataview.ncbi.nlm.nih.gov/object/SRR30712214" TargetMode="External"/><Relationship Id="rId122" Type="http://schemas.openxmlformats.org/officeDocument/2006/relationships/hyperlink" Target="https://dataview.ncbi.nlm.nih.gov/object/SRR30712215" TargetMode="External"/><Relationship Id="rId143" Type="http://schemas.openxmlformats.org/officeDocument/2006/relationships/hyperlink" Target="https://dataview.ncbi.nlm.nih.gov/object/SRR30712182" TargetMode="External"/><Relationship Id="rId148" Type="http://schemas.openxmlformats.org/officeDocument/2006/relationships/hyperlink" Target="https://dataview.ncbi.nlm.nih.gov/object/SRR30712202" TargetMode="External"/><Relationship Id="rId4" Type="http://schemas.openxmlformats.org/officeDocument/2006/relationships/hyperlink" Target="https://dataview.ncbi.nlm.nih.gov/object/SRR30712316" TargetMode="External"/><Relationship Id="rId9" Type="http://schemas.openxmlformats.org/officeDocument/2006/relationships/hyperlink" Target="https://dataview.ncbi.nlm.nih.gov/object/SRR30712321" TargetMode="External"/><Relationship Id="rId26" Type="http://schemas.openxmlformats.org/officeDocument/2006/relationships/hyperlink" Target="https://dataview.ncbi.nlm.nih.gov/object/SRR30712292" TargetMode="External"/><Relationship Id="rId47" Type="http://schemas.openxmlformats.org/officeDocument/2006/relationships/hyperlink" Target="https://dataview.ncbi.nlm.nih.gov/object/SRR30712284" TargetMode="External"/><Relationship Id="rId68" Type="http://schemas.openxmlformats.org/officeDocument/2006/relationships/hyperlink" Target="https://dataview.ncbi.nlm.nih.gov/object/SRR30712250" TargetMode="External"/><Relationship Id="rId89" Type="http://schemas.openxmlformats.org/officeDocument/2006/relationships/hyperlink" Target="https://dataview.ncbi.nlm.nih.gov/object/SRR30712239" TargetMode="External"/><Relationship Id="rId112" Type="http://schemas.openxmlformats.org/officeDocument/2006/relationships/hyperlink" Target="https://dataview.ncbi.nlm.nih.gov/object/SRR30712220" TargetMode="External"/><Relationship Id="rId133" Type="http://schemas.openxmlformats.org/officeDocument/2006/relationships/hyperlink" Target="https://dataview.ncbi.nlm.nih.gov/object/SRR30712197" TargetMode="External"/><Relationship Id="rId16" Type="http://schemas.openxmlformats.org/officeDocument/2006/relationships/hyperlink" Target="https://dataview.ncbi.nlm.nih.gov/object/SRR30712330" TargetMode="External"/><Relationship Id="rId37" Type="http://schemas.openxmlformats.org/officeDocument/2006/relationships/hyperlink" Target="https://dataview.ncbi.nlm.nih.gov/object/SRR30712311" TargetMode="External"/><Relationship Id="rId58" Type="http://schemas.openxmlformats.org/officeDocument/2006/relationships/hyperlink" Target="https://dataview.ncbi.nlm.nih.gov/object/SRR30712273" TargetMode="External"/><Relationship Id="rId79" Type="http://schemas.openxmlformats.org/officeDocument/2006/relationships/hyperlink" Target="https://dataview.ncbi.nlm.nih.gov/object/SRR30712282" TargetMode="External"/><Relationship Id="rId102" Type="http://schemas.openxmlformats.org/officeDocument/2006/relationships/hyperlink" Target="https://dataview.ncbi.nlm.nih.gov/object/SRR30712214" TargetMode="External"/><Relationship Id="rId123" Type="http://schemas.openxmlformats.org/officeDocument/2006/relationships/hyperlink" Target="https://dataview.ncbi.nlm.nih.gov/object/SRR30712212" TargetMode="External"/><Relationship Id="rId144" Type="http://schemas.openxmlformats.org/officeDocument/2006/relationships/hyperlink" Target="https://dataview.ncbi.nlm.nih.gov/object/SRR30712184" TargetMode="External"/><Relationship Id="rId90" Type="http://schemas.openxmlformats.org/officeDocument/2006/relationships/hyperlink" Target="https://dataview.ncbi.nlm.nih.gov/object/SRR3071224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view.ncbi.nlm.nih.gov/object/SRR30712229" TargetMode="External"/><Relationship Id="rId21" Type="http://schemas.openxmlformats.org/officeDocument/2006/relationships/hyperlink" Target="https://dataview.ncbi.nlm.nih.gov/object/SRR30712289" TargetMode="External"/><Relationship Id="rId42" Type="http://schemas.openxmlformats.org/officeDocument/2006/relationships/hyperlink" Target="https://dataview.ncbi.nlm.nih.gov/object/SRR30712298" TargetMode="External"/><Relationship Id="rId63" Type="http://schemas.openxmlformats.org/officeDocument/2006/relationships/hyperlink" Target="https://dataview.ncbi.nlm.nih.gov/object/SRR30712251" TargetMode="External"/><Relationship Id="rId84" Type="http://schemas.openxmlformats.org/officeDocument/2006/relationships/hyperlink" Target="https://dataview.ncbi.nlm.nih.gov/object/SRR30712260" TargetMode="External"/><Relationship Id="rId138" Type="http://schemas.openxmlformats.org/officeDocument/2006/relationships/hyperlink" Target="https://dataview.ncbi.nlm.nih.gov/object/SRR30712191" TargetMode="External"/><Relationship Id="rId107" Type="http://schemas.openxmlformats.org/officeDocument/2006/relationships/hyperlink" Target="https://dataview.ncbi.nlm.nih.gov/object/SRR30712224" TargetMode="External"/><Relationship Id="rId11" Type="http://schemas.openxmlformats.org/officeDocument/2006/relationships/hyperlink" Target="https://dataview.ncbi.nlm.nih.gov/object/SRR30712327" TargetMode="External"/><Relationship Id="rId32" Type="http://schemas.openxmlformats.org/officeDocument/2006/relationships/hyperlink" Target="https://dataview.ncbi.nlm.nih.gov/object/SRR30712302" TargetMode="External"/><Relationship Id="rId53" Type="http://schemas.openxmlformats.org/officeDocument/2006/relationships/hyperlink" Target="https://dataview.ncbi.nlm.nih.gov/object/SRR30712270" TargetMode="External"/><Relationship Id="rId74" Type="http://schemas.openxmlformats.org/officeDocument/2006/relationships/hyperlink" Target="https://dataview.ncbi.nlm.nih.gov/object/SRR30712272" TargetMode="External"/><Relationship Id="rId128" Type="http://schemas.openxmlformats.org/officeDocument/2006/relationships/hyperlink" Target="https://dataview.ncbi.nlm.nih.gov/object/SRR30712198" TargetMode="External"/><Relationship Id="rId149" Type="http://schemas.openxmlformats.org/officeDocument/2006/relationships/hyperlink" Target="https://dataview.ncbi.nlm.nih.gov/object/SRR30712240" TargetMode="External"/><Relationship Id="rId5" Type="http://schemas.openxmlformats.org/officeDocument/2006/relationships/hyperlink" Target="https://dataview.ncbi.nlm.nih.gov/object/SRR30712320" TargetMode="External"/><Relationship Id="rId95" Type="http://schemas.openxmlformats.org/officeDocument/2006/relationships/hyperlink" Target="https://dataview.ncbi.nlm.nih.gov/object/SRR30712238" TargetMode="External"/><Relationship Id="rId22" Type="http://schemas.openxmlformats.org/officeDocument/2006/relationships/hyperlink" Target="https://dataview.ncbi.nlm.nih.gov/object/SRR30712295" TargetMode="External"/><Relationship Id="rId27" Type="http://schemas.openxmlformats.org/officeDocument/2006/relationships/hyperlink" Target="https://dataview.ncbi.nlm.nih.gov/object/SRR30712290" TargetMode="External"/><Relationship Id="rId43" Type="http://schemas.openxmlformats.org/officeDocument/2006/relationships/hyperlink" Target="https://dataview.ncbi.nlm.nih.gov/object/SRR30712285" TargetMode="External"/><Relationship Id="rId48" Type="http://schemas.openxmlformats.org/officeDocument/2006/relationships/hyperlink" Target="https://dataview.ncbi.nlm.nih.gov/object/SRR30712286" TargetMode="External"/><Relationship Id="rId64" Type="http://schemas.openxmlformats.org/officeDocument/2006/relationships/hyperlink" Target="https://dataview.ncbi.nlm.nih.gov/object/SRR30712257" TargetMode="External"/><Relationship Id="rId69" Type="http://schemas.openxmlformats.org/officeDocument/2006/relationships/hyperlink" Target="https://dataview.ncbi.nlm.nih.gov/object/SRR30712262" TargetMode="External"/><Relationship Id="rId113" Type="http://schemas.openxmlformats.org/officeDocument/2006/relationships/hyperlink" Target="https://dataview.ncbi.nlm.nih.gov/object/SRR30712225" TargetMode="External"/><Relationship Id="rId118" Type="http://schemas.openxmlformats.org/officeDocument/2006/relationships/hyperlink" Target="https://dataview.ncbi.nlm.nih.gov/object/SRR30712232" TargetMode="External"/><Relationship Id="rId134" Type="http://schemas.openxmlformats.org/officeDocument/2006/relationships/hyperlink" Target="https://dataview.ncbi.nlm.nih.gov/object/SRR30712190" TargetMode="External"/><Relationship Id="rId139" Type="http://schemas.openxmlformats.org/officeDocument/2006/relationships/hyperlink" Target="https://dataview.ncbi.nlm.nih.gov/object/SRR30712200" TargetMode="External"/><Relationship Id="rId80" Type="http://schemas.openxmlformats.org/officeDocument/2006/relationships/hyperlink" Target="https://dataview.ncbi.nlm.nih.gov/object/SRR30712276" TargetMode="External"/><Relationship Id="rId85" Type="http://schemas.openxmlformats.org/officeDocument/2006/relationships/hyperlink" Target="https://dataview.ncbi.nlm.nih.gov/object/SRR30712237" TargetMode="External"/><Relationship Id="rId150" Type="http://schemas.openxmlformats.org/officeDocument/2006/relationships/table" Target="../tables/table1.xml"/><Relationship Id="rId12" Type="http://schemas.openxmlformats.org/officeDocument/2006/relationships/hyperlink" Target="https://dataview.ncbi.nlm.nih.gov/object/SRR30712324" TargetMode="External"/><Relationship Id="rId17" Type="http://schemas.openxmlformats.org/officeDocument/2006/relationships/hyperlink" Target="https://dataview.ncbi.nlm.nih.gov/object/SRR30712308" TargetMode="External"/><Relationship Id="rId33" Type="http://schemas.openxmlformats.org/officeDocument/2006/relationships/hyperlink" Target="https://dataview.ncbi.nlm.nih.gov/object/SRR30712303" TargetMode="External"/><Relationship Id="rId38" Type="http://schemas.openxmlformats.org/officeDocument/2006/relationships/hyperlink" Target="https://dataview.ncbi.nlm.nih.gov/object/SRR30712310" TargetMode="External"/><Relationship Id="rId59" Type="http://schemas.openxmlformats.org/officeDocument/2006/relationships/hyperlink" Target="https://dataview.ncbi.nlm.nih.gov/object/SRR30712271" TargetMode="External"/><Relationship Id="rId103" Type="http://schemas.openxmlformats.org/officeDocument/2006/relationships/hyperlink" Target="https://dataview.ncbi.nlm.nih.gov/object/SRR30712206" TargetMode="External"/><Relationship Id="rId108" Type="http://schemas.openxmlformats.org/officeDocument/2006/relationships/hyperlink" Target="https://dataview.ncbi.nlm.nih.gov/object/SRR30712230" TargetMode="External"/><Relationship Id="rId124" Type="http://schemas.openxmlformats.org/officeDocument/2006/relationships/hyperlink" Target="https://dataview.ncbi.nlm.nih.gov/object/SRR30712213" TargetMode="External"/><Relationship Id="rId129" Type="http://schemas.openxmlformats.org/officeDocument/2006/relationships/hyperlink" Target="https://dataview.ncbi.nlm.nih.gov/object/SRR30712195" TargetMode="External"/><Relationship Id="rId54" Type="http://schemas.openxmlformats.org/officeDocument/2006/relationships/hyperlink" Target="https://dataview.ncbi.nlm.nih.gov/object/SRR30712280" TargetMode="External"/><Relationship Id="rId70" Type="http://schemas.openxmlformats.org/officeDocument/2006/relationships/hyperlink" Target="https://dataview.ncbi.nlm.nih.gov/object/SRR30712248" TargetMode="External"/><Relationship Id="rId75" Type="http://schemas.openxmlformats.org/officeDocument/2006/relationships/hyperlink" Target="https://dataview.ncbi.nlm.nih.gov/object/SRR30712279" TargetMode="External"/><Relationship Id="rId91" Type="http://schemas.openxmlformats.org/officeDocument/2006/relationships/hyperlink" Target="https://dataview.ncbi.nlm.nih.gov/object/SRR30712247" TargetMode="External"/><Relationship Id="rId96" Type="http://schemas.openxmlformats.org/officeDocument/2006/relationships/hyperlink" Target="https://dataview.ncbi.nlm.nih.gov/object/SRR30712235" TargetMode="External"/><Relationship Id="rId140" Type="http://schemas.openxmlformats.org/officeDocument/2006/relationships/hyperlink" Target="https://dataview.ncbi.nlm.nih.gov/object/SRR30712187" TargetMode="External"/><Relationship Id="rId145" Type="http://schemas.openxmlformats.org/officeDocument/2006/relationships/hyperlink" Target="https://dataview.ncbi.nlm.nih.gov/object/SRR30712177" TargetMode="External"/><Relationship Id="rId1" Type="http://schemas.openxmlformats.org/officeDocument/2006/relationships/hyperlink" Target="https://dataview.ncbi.nlm.nih.gov/object/SRR30712328" TargetMode="External"/><Relationship Id="rId6" Type="http://schemas.openxmlformats.org/officeDocument/2006/relationships/hyperlink" Target="https://dataview.ncbi.nlm.nih.gov/object/SRR30712323" TargetMode="External"/><Relationship Id="rId23" Type="http://schemas.openxmlformats.org/officeDocument/2006/relationships/hyperlink" Target="https://dataview.ncbi.nlm.nih.gov/object/SRR30712291" TargetMode="External"/><Relationship Id="rId28" Type="http://schemas.openxmlformats.org/officeDocument/2006/relationships/hyperlink" Target="https://dataview.ncbi.nlm.nih.gov/object/SRR30712313" TargetMode="External"/><Relationship Id="rId49" Type="http://schemas.openxmlformats.org/officeDocument/2006/relationships/hyperlink" Target="https://dataview.ncbi.nlm.nih.gov/object/SRR30712275" TargetMode="External"/><Relationship Id="rId114" Type="http://schemas.openxmlformats.org/officeDocument/2006/relationships/hyperlink" Target="https://dataview.ncbi.nlm.nih.gov/object/SRR30712218" TargetMode="External"/><Relationship Id="rId119" Type="http://schemas.openxmlformats.org/officeDocument/2006/relationships/hyperlink" Target="https://dataview.ncbi.nlm.nih.gov/object/SRR30712222" TargetMode="External"/><Relationship Id="rId44" Type="http://schemas.openxmlformats.org/officeDocument/2006/relationships/hyperlink" Target="https://dataview.ncbi.nlm.nih.gov/object/SRR30712297" TargetMode="External"/><Relationship Id="rId60" Type="http://schemas.openxmlformats.org/officeDocument/2006/relationships/hyperlink" Target="https://dataview.ncbi.nlm.nih.gov/object/SRR30712269" TargetMode="External"/><Relationship Id="rId65" Type="http://schemas.openxmlformats.org/officeDocument/2006/relationships/hyperlink" Target="https://dataview.ncbi.nlm.nih.gov/object/SRR30712258" TargetMode="External"/><Relationship Id="rId81" Type="http://schemas.openxmlformats.org/officeDocument/2006/relationships/hyperlink" Target="https://dataview.ncbi.nlm.nih.gov/object/SRR30712276" TargetMode="External"/><Relationship Id="rId86" Type="http://schemas.openxmlformats.org/officeDocument/2006/relationships/hyperlink" Target="https://dataview.ncbi.nlm.nih.gov/object/SRR30712244" TargetMode="External"/><Relationship Id="rId130" Type="http://schemas.openxmlformats.org/officeDocument/2006/relationships/hyperlink" Target="https://dataview.ncbi.nlm.nih.gov/object/SRR30712192" TargetMode="External"/><Relationship Id="rId135" Type="http://schemas.openxmlformats.org/officeDocument/2006/relationships/hyperlink" Target="https://dataview.ncbi.nlm.nih.gov/object/SRR30712194" TargetMode="External"/><Relationship Id="rId13" Type="http://schemas.openxmlformats.org/officeDocument/2006/relationships/hyperlink" Target="https://dataview.ncbi.nlm.nih.gov/object/SRR30712331" TargetMode="External"/><Relationship Id="rId18" Type="http://schemas.openxmlformats.org/officeDocument/2006/relationships/hyperlink" Target="https://dataview.ncbi.nlm.nih.gov/object/SRR30712314" TargetMode="External"/><Relationship Id="rId39" Type="http://schemas.openxmlformats.org/officeDocument/2006/relationships/hyperlink" Target="https://dataview.ncbi.nlm.nih.gov/object/SRR30712300" TargetMode="External"/><Relationship Id="rId109" Type="http://schemas.openxmlformats.org/officeDocument/2006/relationships/hyperlink" Target="https://dataview.ncbi.nlm.nih.gov/object/SRR30712223" TargetMode="External"/><Relationship Id="rId34" Type="http://schemas.openxmlformats.org/officeDocument/2006/relationships/hyperlink" Target="https://dataview.ncbi.nlm.nih.gov/object/SRR30712307" TargetMode="External"/><Relationship Id="rId50" Type="http://schemas.openxmlformats.org/officeDocument/2006/relationships/hyperlink" Target="https://dataview.ncbi.nlm.nih.gov/object/SRR30712264" TargetMode="External"/><Relationship Id="rId55" Type="http://schemas.openxmlformats.org/officeDocument/2006/relationships/hyperlink" Target="https://dataview.ncbi.nlm.nih.gov/object/SRR30712278" TargetMode="External"/><Relationship Id="rId76" Type="http://schemas.openxmlformats.org/officeDocument/2006/relationships/hyperlink" Target="https://dataview.ncbi.nlm.nih.gov/object/SRR30712265" TargetMode="External"/><Relationship Id="rId97" Type="http://schemas.openxmlformats.org/officeDocument/2006/relationships/hyperlink" Target="https://dataview.ncbi.nlm.nih.gov/object/SRR30712243" TargetMode="External"/><Relationship Id="rId104" Type="http://schemas.openxmlformats.org/officeDocument/2006/relationships/hyperlink" Target="https://dataview.ncbi.nlm.nih.gov/object/SRR30712205" TargetMode="External"/><Relationship Id="rId120" Type="http://schemas.openxmlformats.org/officeDocument/2006/relationships/hyperlink" Target="https://dataview.ncbi.nlm.nih.gov/object/SRR30712209" TargetMode="External"/><Relationship Id="rId125" Type="http://schemas.openxmlformats.org/officeDocument/2006/relationships/hyperlink" Target="https://dataview.ncbi.nlm.nih.gov/object/SRR30712210" TargetMode="External"/><Relationship Id="rId141" Type="http://schemas.openxmlformats.org/officeDocument/2006/relationships/hyperlink" Target="https://dataview.ncbi.nlm.nih.gov/object/SRR30712178" TargetMode="External"/><Relationship Id="rId146" Type="http://schemas.openxmlformats.org/officeDocument/2006/relationships/hyperlink" Target="https://dataview.ncbi.nlm.nih.gov/object/SRR30712188" TargetMode="External"/><Relationship Id="rId7" Type="http://schemas.openxmlformats.org/officeDocument/2006/relationships/hyperlink" Target="https://dataview.ncbi.nlm.nih.gov/object/SRR30712326" TargetMode="External"/><Relationship Id="rId71" Type="http://schemas.openxmlformats.org/officeDocument/2006/relationships/hyperlink" Target="https://dataview.ncbi.nlm.nih.gov/object/SRR30712255" TargetMode="External"/><Relationship Id="rId92" Type="http://schemas.openxmlformats.org/officeDocument/2006/relationships/hyperlink" Target="https://dataview.ncbi.nlm.nih.gov/object/SRR30712242" TargetMode="External"/><Relationship Id="rId2" Type="http://schemas.openxmlformats.org/officeDocument/2006/relationships/hyperlink" Target="https://dataview.ncbi.nlm.nih.gov/object/SRR30712319" TargetMode="External"/><Relationship Id="rId29" Type="http://schemas.openxmlformats.org/officeDocument/2006/relationships/hyperlink" Target="https://dataview.ncbi.nlm.nih.gov/object/SRR30712305" TargetMode="External"/><Relationship Id="rId24" Type="http://schemas.openxmlformats.org/officeDocument/2006/relationships/hyperlink" Target="https://dataview.ncbi.nlm.nih.gov/object/SRR30712293" TargetMode="External"/><Relationship Id="rId40" Type="http://schemas.openxmlformats.org/officeDocument/2006/relationships/hyperlink" Target="https://dataview.ncbi.nlm.nih.gov/object/SRR30712309" TargetMode="External"/><Relationship Id="rId45" Type="http://schemas.openxmlformats.org/officeDocument/2006/relationships/hyperlink" Target="https://dataview.ncbi.nlm.nih.gov/object/SRR30712288" TargetMode="External"/><Relationship Id="rId66" Type="http://schemas.openxmlformats.org/officeDocument/2006/relationships/hyperlink" Target="https://dataview.ncbi.nlm.nih.gov/object/SRR30712259" TargetMode="External"/><Relationship Id="rId87" Type="http://schemas.openxmlformats.org/officeDocument/2006/relationships/hyperlink" Target="https://dataview.ncbi.nlm.nih.gov/object/SRR30712246" TargetMode="External"/><Relationship Id="rId110" Type="http://schemas.openxmlformats.org/officeDocument/2006/relationships/hyperlink" Target="https://dataview.ncbi.nlm.nih.gov/object/SRR30712231" TargetMode="External"/><Relationship Id="rId115" Type="http://schemas.openxmlformats.org/officeDocument/2006/relationships/hyperlink" Target="https://dataview.ncbi.nlm.nih.gov/object/SRR30712227" TargetMode="External"/><Relationship Id="rId131" Type="http://schemas.openxmlformats.org/officeDocument/2006/relationships/hyperlink" Target="https://dataview.ncbi.nlm.nih.gov/object/SRR30712199" TargetMode="External"/><Relationship Id="rId136" Type="http://schemas.openxmlformats.org/officeDocument/2006/relationships/hyperlink" Target="https://dataview.ncbi.nlm.nih.gov/object/SRR30712204" TargetMode="External"/><Relationship Id="rId61" Type="http://schemas.openxmlformats.org/officeDocument/2006/relationships/hyperlink" Target="https://dataview.ncbi.nlm.nih.gov/object/SRR30712256" TargetMode="External"/><Relationship Id="rId82" Type="http://schemas.openxmlformats.org/officeDocument/2006/relationships/hyperlink" Target="https://dataview.ncbi.nlm.nih.gov/object/SRR30712261" TargetMode="External"/><Relationship Id="rId19" Type="http://schemas.openxmlformats.org/officeDocument/2006/relationships/hyperlink" Target="https://dataview.ncbi.nlm.nih.gov/object/SRR30712299" TargetMode="External"/><Relationship Id="rId14" Type="http://schemas.openxmlformats.org/officeDocument/2006/relationships/hyperlink" Target="https://dataview.ncbi.nlm.nih.gov/object/SRR30712322" TargetMode="External"/><Relationship Id="rId30" Type="http://schemas.openxmlformats.org/officeDocument/2006/relationships/hyperlink" Target="https://dataview.ncbi.nlm.nih.gov/object/SRR30712312" TargetMode="External"/><Relationship Id="rId35" Type="http://schemas.openxmlformats.org/officeDocument/2006/relationships/hyperlink" Target="https://dataview.ncbi.nlm.nih.gov/object/SRR30712306" TargetMode="External"/><Relationship Id="rId56" Type="http://schemas.openxmlformats.org/officeDocument/2006/relationships/hyperlink" Target="https://dataview.ncbi.nlm.nih.gov/object/SRR30712266" TargetMode="External"/><Relationship Id="rId77" Type="http://schemas.openxmlformats.org/officeDocument/2006/relationships/hyperlink" Target="https://dataview.ncbi.nlm.nih.gov/object/SRR30712283" TargetMode="External"/><Relationship Id="rId100" Type="http://schemas.openxmlformats.org/officeDocument/2006/relationships/hyperlink" Target="https://dataview.ncbi.nlm.nih.gov/object/SRR30712208" TargetMode="External"/><Relationship Id="rId105" Type="http://schemas.openxmlformats.org/officeDocument/2006/relationships/hyperlink" Target="https://dataview.ncbi.nlm.nih.gov/object/SRR30712226" TargetMode="External"/><Relationship Id="rId126" Type="http://schemas.openxmlformats.org/officeDocument/2006/relationships/hyperlink" Target="https://dataview.ncbi.nlm.nih.gov/object/SRR30712216" TargetMode="External"/><Relationship Id="rId147" Type="http://schemas.openxmlformats.org/officeDocument/2006/relationships/hyperlink" Target="https://dataview.ncbi.nlm.nih.gov/object/SRR30712203" TargetMode="External"/><Relationship Id="rId8" Type="http://schemas.openxmlformats.org/officeDocument/2006/relationships/hyperlink" Target="https://dataview.ncbi.nlm.nih.gov/object/SRR30712317" TargetMode="External"/><Relationship Id="rId51" Type="http://schemas.openxmlformats.org/officeDocument/2006/relationships/hyperlink" Target="https://dataview.ncbi.nlm.nih.gov/object/SRR30712267" TargetMode="External"/><Relationship Id="rId72" Type="http://schemas.openxmlformats.org/officeDocument/2006/relationships/hyperlink" Target="https://dataview.ncbi.nlm.nih.gov/object/SRR30712254" TargetMode="External"/><Relationship Id="rId93" Type="http://schemas.openxmlformats.org/officeDocument/2006/relationships/hyperlink" Target="https://dataview.ncbi.nlm.nih.gov/object/SRR30712234" TargetMode="External"/><Relationship Id="rId98" Type="http://schemas.openxmlformats.org/officeDocument/2006/relationships/hyperlink" Target="https://dataview.ncbi.nlm.nih.gov/object/SRR30712243" TargetMode="External"/><Relationship Id="rId121" Type="http://schemas.openxmlformats.org/officeDocument/2006/relationships/hyperlink" Target="https://dataview.ncbi.nlm.nih.gov/object/SRR30712207" TargetMode="External"/><Relationship Id="rId142" Type="http://schemas.openxmlformats.org/officeDocument/2006/relationships/hyperlink" Target="https://dataview.ncbi.nlm.nih.gov/object/SRR30712189" TargetMode="External"/><Relationship Id="rId3" Type="http://schemas.openxmlformats.org/officeDocument/2006/relationships/hyperlink" Target="https://dataview.ncbi.nlm.nih.gov/object/SRR30712325" TargetMode="External"/><Relationship Id="rId25" Type="http://schemas.openxmlformats.org/officeDocument/2006/relationships/hyperlink" Target="https://dataview.ncbi.nlm.nih.gov/object/SRR30712296" TargetMode="External"/><Relationship Id="rId46" Type="http://schemas.openxmlformats.org/officeDocument/2006/relationships/hyperlink" Target="https://dataview.ncbi.nlm.nih.gov/object/SRR30712287" TargetMode="External"/><Relationship Id="rId67" Type="http://schemas.openxmlformats.org/officeDocument/2006/relationships/hyperlink" Target="https://dataview.ncbi.nlm.nih.gov/object/SRR30712253" TargetMode="External"/><Relationship Id="rId116" Type="http://schemas.openxmlformats.org/officeDocument/2006/relationships/hyperlink" Target="https://dataview.ncbi.nlm.nih.gov/object/SRR30712228" TargetMode="External"/><Relationship Id="rId137" Type="http://schemas.openxmlformats.org/officeDocument/2006/relationships/hyperlink" Target="https://dataview.ncbi.nlm.nih.gov/object/SRR30712201" TargetMode="External"/><Relationship Id="rId20" Type="http://schemas.openxmlformats.org/officeDocument/2006/relationships/hyperlink" Target="https://dataview.ncbi.nlm.nih.gov/object/SRR30712315" TargetMode="External"/><Relationship Id="rId41" Type="http://schemas.openxmlformats.org/officeDocument/2006/relationships/hyperlink" Target="https://dataview.ncbi.nlm.nih.gov/object/SRR30712294" TargetMode="External"/><Relationship Id="rId62" Type="http://schemas.openxmlformats.org/officeDocument/2006/relationships/hyperlink" Target="https://dataview.ncbi.nlm.nih.gov/object/SRR30712252" TargetMode="External"/><Relationship Id="rId83" Type="http://schemas.openxmlformats.org/officeDocument/2006/relationships/hyperlink" Target="https://dataview.ncbi.nlm.nih.gov/object/SRR30712263" TargetMode="External"/><Relationship Id="rId88" Type="http://schemas.openxmlformats.org/officeDocument/2006/relationships/hyperlink" Target="https://dataview.ncbi.nlm.nih.gov/object/SRR30712241" TargetMode="External"/><Relationship Id="rId111" Type="http://schemas.openxmlformats.org/officeDocument/2006/relationships/hyperlink" Target="https://dataview.ncbi.nlm.nih.gov/object/SRR30712217" TargetMode="External"/><Relationship Id="rId132" Type="http://schemas.openxmlformats.org/officeDocument/2006/relationships/hyperlink" Target="https://dataview.ncbi.nlm.nih.gov/object/SRR30712196" TargetMode="External"/><Relationship Id="rId15" Type="http://schemas.openxmlformats.org/officeDocument/2006/relationships/hyperlink" Target="https://dataview.ncbi.nlm.nih.gov/object/SRR30712329" TargetMode="External"/><Relationship Id="rId36" Type="http://schemas.openxmlformats.org/officeDocument/2006/relationships/hyperlink" Target="https://dataview.ncbi.nlm.nih.gov/object/SRR30712304" TargetMode="External"/><Relationship Id="rId57" Type="http://schemas.openxmlformats.org/officeDocument/2006/relationships/hyperlink" Target="https://dataview.ncbi.nlm.nih.gov/object/SRR30712277" TargetMode="External"/><Relationship Id="rId106" Type="http://schemas.openxmlformats.org/officeDocument/2006/relationships/hyperlink" Target="https://dataview.ncbi.nlm.nih.gov/object/SRR30712221" TargetMode="External"/><Relationship Id="rId127" Type="http://schemas.openxmlformats.org/officeDocument/2006/relationships/hyperlink" Target="https://dataview.ncbi.nlm.nih.gov/object/SRR30712193" TargetMode="External"/><Relationship Id="rId10" Type="http://schemas.openxmlformats.org/officeDocument/2006/relationships/hyperlink" Target="https://dataview.ncbi.nlm.nih.gov/object/SRR30712318" TargetMode="External"/><Relationship Id="rId31" Type="http://schemas.openxmlformats.org/officeDocument/2006/relationships/hyperlink" Target="https://dataview.ncbi.nlm.nih.gov/object/SRR30712301" TargetMode="External"/><Relationship Id="rId52" Type="http://schemas.openxmlformats.org/officeDocument/2006/relationships/hyperlink" Target="https://dataview.ncbi.nlm.nih.gov/object/SRR30712274" TargetMode="External"/><Relationship Id="rId73" Type="http://schemas.openxmlformats.org/officeDocument/2006/relationships/hyperlink" Target="https://dataview.ncbi.nlm.nih.gov/object/SRR30712281" TargetMode="External"/><Relationship Id="rId78" Type="http://schemas.openxmlformats.org/officeDocument/2006/relationships/hyperlink" Target="https://dataview.ncbi.nlm.nih.gov/object/SRR30712268" TargetMode="External"/><Relationship Id="rId94" Type="http://schemas.openxmlformats.org/officeDocument/2006/relationships/hyperlink" Target="https://dataview.ncbi.nlm.nih.gov/object/SRR30712233" TargetMode="External"/><Relationship Id="rId99" Type="http://schemas.openxmlformats.org/officeDocument/2006/relationships/hyperlink" Target="https://dataview.ncbi.nlm.nih.gov/object/SRR30712219" TargetMode="External"/><Relationship Id="rId101" Type="http://schemas.openxmlformats.org/officeDocument/2006/relationships/hyperlink" Target="https://dataview.ncbi.nlm.nih.gov/object/SRR30712214" TargetMode="External"/><Relationship Id="rId122" Type="http://schemas.openxmlformats.org/officeDocument/2006/relationships/hyperlink" Target="https://dataview.ncbi.nlm.nih.gov/object/SRR30712215" TargetMode="External"/><Relationship Id="rId143" Type="http://schemas.openxmlformats.org/officeDocument/2006/relationships/hyperlink" Target="https://dataview.ncbi.nlm.nih.gov/object/SRR30712182" TargetMode="External"/><Relationship Id="rId148" Type="http://schemas.openxmlformats.org/officeDocument/2006/relationships/hyperlink" Target="https://dataview.ncbi.nlm.nih.gov/object/SRR30712202" TargetMode="External"/><Relationship Id="rId4" Type="http://schemas.openxmlformats.org/officeDocument/2006/relationships/hyperlink" Target="https://dataview.ncbi.nlm.nih.gov/object/SRR30712316" TargetMode="External"/><Relationship Id="rId9" Type="http://schemas.openxmlformats.org/officeDocument/2006/relationships/hyperlink" Target="https://dataview.ncbi.nlm.nih.gov/object/SRR30712321" TargetMode="External"/><Relationship Id="rId26" Type="http://schemas.openxmlformats.org/officeDocument/2006/relationships/hyperlink" Target="https://dataview.ncbi.nlm.nih.gov/object/SRR30712292" TargetMode="External"/><Relationship Id="rId47" Type="http://schemas.openxmlformats.org/officeDocument/2006/relationships/hyperlink" Target="https://dataview.ncbi.nlm.nih.gov/object/SRR30712284" TargetMode="External"/><Relationship Id="rId68" Type="http://schemas.openxmlformats.org/officeDocument/2006/relationships/hyperlink" Target="https://dataview.ncbi.nlm.nih.gov/object/SRR30712250" TargetMode="External"/><Relationship Id="rId89" Type="http://schemas.openxmlformats.org/officeDocument/2006/relationships/hyperlink" Target="https://dataview.ncbi.nlm.nih.gov/object/SRR30712239" TargetMode="External"/><Relationship Id="rId112" Type="http://schemas.openxmlformats.org/officeDocument/2006/relationships/hyperlink" Target="https://dataview.ncbi.nlm.nih.gov/object/SRR30712220" TargetMode="External"/><Relationship Id="rId133" Type="http://schemas.openxmlformats.org/officeDocument/2006/relationships/hyperlink" Target="https://dataview.ncbi.nlm.nih.gov/object/SRR30712197" TargetMode="External"/><Relationship Id="rId16" Type="http://schemas.openxmlformats.org/officeDocument/2006/relationships/hyperlink" Target="https://dataview.ncbi.nlm.nih.gov/object/SRR30712330" TargetMode="External"/><Relationship Id="rId37" Type="http://schemas.openxmlformats.org/officeDocument/2006/relationships/hyperlink" Target="https://dataview.ncbi.nlm.nih.gov/object/SRR30712311" TargetMode="External"/><Relationship Id="rId58" Type="http://schemas.openxmlformats.org/officeDocument/2006/relationships/hyperlink" Target="https://dataview.ncbi.nlm.nih.gov/object/SRR30712273" TargetMode="External"/><Relationship Id="rId79" Type="http://schemas.openxmlformats.org/officeDocument/2006/relationships/hyperlink" Target="https://dataview.ncbi.nlm.nih.gov/object/SRR30712282" TargetMode="External"/><Relationship Id="rId102" Type="http://schemas.openxmlformats.org/officeDocument/2006/relationships/hyperlink" Target="https://dataview.ncbi.nlm.nih.gov/object/SRR30712214" TargetMode="External"/><Relationship Id="rId123" Type="http://schemas.openxmlformats.org/officeDocument/2006/relationships/hyperlink" Target="https://dataview.ncbi.nlm.nih.gov/object/SRR30712212" TargetMode="External"/><Relationship Id="rId144" Type="http://schemas.openxmlformats.org/officeDocument/2006/relationships/hyperlink" Target="https://dataview.ncbi.nlm.nih.gov/object/SRR30712184" TargetMode="External"/><Relationship Id="rId90" Type="http://schemas.openxmlformats.org/officeDocument/2006/relationships/hyperlink" Target="https://dataview.ncbi.nlm.nih.gov/object/SRR30712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9DF7-21AE-8D4D-B199-20D988D7F910}">
  <dimension ref="A1:AE150"/>
  <sheetViews>
    <sheetView tabSelected="1" topLeftCell="A108" zoomScale="110" zoomScaleNormal="110" workbookViewId="0">
      <pane xSplit="1" topLeftCell="C1" activePane="topRight" state="frozen"/>
      <selection pane="topRight" activeCell="U137" sqref="U137"/>
    </sheetView>
  </sheetViews>
  <sheetFormatPr baseColWidth="10" defaultRowHeight="16" x14ac:dyDescent="0.2"/>
  <cols>
    <col min="1" max="1" width="28.1640625" customWidth="1"/>
    <col min="2" max="2" width="17" customWidth="1"/>
    <col min="3" max="3" width="22.33203125" bestFit="1" customWidth="1"/>
    <col min="6" max="6" width="7.6640625" bestFit="1" customWidth="1"/>
    <col min="7" max="8" width="12.6640625" customWidth="1"/>
    <col min="9" max="9" width="8.5" hidden="1" customWidth="1"/>
    <col min="10" max="10" width="6.6640625" style="1" hidden="1" customWidth="1"/>
    <col min="11" max="11" width="14.1640625" hidden="1" customWidth="1"/>
    <col min="12" max="12" width="12.1640625" hidden="1" customWidth="1"/>
    <col min="13" max="13" width="13.83203125" hidden="1" customWidth="1"/>
    <col min="14" max="14" width="13.1640625" hidden="1" customWidth="1"/>
    <col min="15" max="15" width="14.83203125" customWidth="1"/>
    <col min="16" max="16" width="16" style="1" customWidth="1"/>
    <col min="17" max="19" width="12.1640625" style="1" customWidth="1"/>
    <col min="20" max="21" width="12" style="1" customWidth="1"/>
    <col min="22" max="22" width="14.1640625" bestFit="1" customWidth="1"/>
    <col min="23" max="25" width="10.33203125" bestFit="1" customWidth="1"/>
    <col min="26" max="26" width="10.1640625" bestFit="1" customWidth="1"/>
    <col min="27" max="28" width="10.1640625" customWidth="1"/>
    <col min="29" max="29" width="67.6640625" bestFit="1" customWidth="1"/>
    <col min="30" max="30" width="17.6640625" style="19" customWidth="1"/>
  </cols>
  <sheetData>
    <row r="1" spans="1:31" ht="17" x14ac:dyDescent="0.2">
      <c r="A1" s="21" t="s">
        <v>0</v>
      </c>
      <c r="B1" s="21" t="s">
        <v>158</v>
      </c>
      <c r="C1" s="21" t="s">
        <v>159</v>
      </c>
      <c r="D1" s="21" t="s">
        <v>171</v>
      </c>
      <c r="E1" s="21" t="s">
        <v>1</v>
      </c>
      <c r="F1" s="21" t="s">
        <v>2</v>
      </c>
      <c r="G1" s="21" t="s">
        <v>3</v>
      </c>
      <c r="H1" s="22" t="s">
        <v>4</v>
      </c>
      <c r="I1" s="23" t="s">
        <v>182</v>
      </c>
      <c r="J1" s="21" t="s">
        <v>185</v>
      </c>
      <c r="K1" s="24" t="s">
        <v>5</v>
      </c>
      <c r="L1" s="25" t="s">
        <v>168</v>
      </c>
      <c r="M1" s="25" t="s">
        <v>169</v>
      </c>
      <c r="N1" s="25" t="s">
        <v>167</v>
      </c>
      <c r="O1" s="25" t="s">
        <v>170</v>
      </c>
      <c r="P1" s="25" t="s">
        <v>172</v>
      </c>
      <c r="Q1" s="25" t="s">
        <v>173</v>
      </c>
      <c r="R1" s="25" t="s">
        <v>174</v>
      </c>
      <c r="S1" s="25" t="s">
        <v>175</v>
      </c>
      <c r="T1" s="25" t="s">
        <v>176</v>
      </c>
      <c r="U1" s="25" t="s">
        <v>473</v>
      </c>
      <c r="V1" s="25" t="s">
        <v>177</v>
      </c>
      <c r="W1" s="25" t="s">
        <v>178</v>
      </c>
      <c r="X1" s="25" t="s">
        <v>179</v>
      </c>
      <c r="Y1" s="25" t="s">
        <v>180</v>
      </c>
      <c r="Z1" s="25" t="s">
        <v>181</v>
      </c>
      <c r="AA1" s="25" t="s">
        <v>290</v>
      </c>
      <c r="AB1" s="25" t="s">
        <v>291</v>
      </c>
      <c r="AC1" s="25" t="s">
        <v>186</v>
      </c>
      <c r="AD1" s="3" t="s">
        <v>455</v>
      </c>
      <c r="AE1" t="s">
        <v>452</v>
      </c>
    </row>
    <row r="2" spans="1:31" x14ac:dyDescent="0.2">
      <c r="A2" s="7" t="s">
        <v>6</v>
      </c>
      <c r="B2" s="7" t="s">
        <v>160</v>
      </c>
      <c r="C2" s="7" t="s">
        <v>164</v>
      </c>
      <c r="D2" s="7" t="s">
        <v>7</v>
      </c>
      <c r="E2" s="7" t="s">
        <v>7</v>
      </c>
      <c r="F2" s="7" t="s">
        <v>8</v>
      </c>
      <c r="G2" s="9">
        <v>12.531148910522461</v>
      </c>
      <c r="H2" s="10">
        <v>12.840806007385254</v>
      </c>
      <c r="I2" s="11" t="s">
        <v>183</v>
      </c>
      <c r="J2" s="12">
        <v>13.835585594177246</v>
      </c>
      <c r="K2" s="13" t="s">
        <v>7</v>
      </c>
      <c r="L2" s="26" t="s">
        <v>7</v>
      </c>
      <c r="M2" s="26" t="s">
        <v>7</v>
      </c>
      <c r="N2" s="26" t="s">
        <v>7</v>
      </c>
      <c r="O2" s="26" t="s">
        <v>7</v>
      </c>
      <c r="P2" s="16">
        <f t="shared" ref="P2:P33" si="0">SUM(Q2:T2)</f>
        <v>5</v>
      </c>
      <c r="Q2" s="1">
        <v>1</v>
      </c>
      <c r="R2" s="1">
        <v>1</v>
      </c>
      <c r="S2" s="1">
        <v>2</v>
      </c>
      <c r="T2" s="1">
        <v>1</v>
      </c>
      <c r="U2" s="1" t="s">
        <v>7</v>
      </c>
      <c r="V2" s="16">
        <f>SUM(W2:Z2)</f>
        <v>5</v>
      </c>
      <c r="W2" s="1">
        <v>1</v>
      </c>
      <c r="X2" s="1">
        <v>1</v>
      </c>
      <c r="Y2" s="1">
        <v>2</v>
      </c>
      <c r="Z2" s="1">
        <v>1</v>
      </c>
      <c r="AA2" s="1" t="s">
        <v>288</v>
      </c>
      <c r="AB2" s="1" t="s">
        <v>183</v>
      </c>
      <c r="AC2" t="s">
        <v>209</v>
      </c>
      <c r="AD2" s="20" t="s">
        <v>318</v>
      </c>
      <c r="AE2" s="4">
        <v>3599.2704043040799</v>
      </c>
    </row>
    <row r="3" spans="1:31" x14ac:dyDescent="0.2">
      <c r="A3" s="7" t="s">
        <v>9</v>
      </c>
      <c r="B3" s="7" t="s">
        <v>160</v>
      </c>
      <c r="C3" s="7" t="s">
        <v>164</v>
      </c>
      <c r="D3" s="7" t="s">
        <v>8</v>
      </c>
      <c r="E3" s="7" t="s">
        <v>10</v>
      </c>
      <c r="F3" s="7" t="s">
        <v>7</v>
      </c>
      <c r="G3" s="9">
        <v>30.012094497680664</v>
      </c>
      <c r="H3" s="10">
        <v>26.600799560546875</v>
      </c>
      <c r="I3" s="11" t="s">
        <v>184</v>
      </c>
      <c r="J3" s="12">
        <v>13.961712837219238</v>
      </c>
      <c r="K3" s="13" t="s">
        <v>7</v>
      </c>
      <c r="L3" s="26" t="s">
        <v>8</v>
      </c>
      <c r="M3" s="26" t="s">
        <v>10</v>
      </c>
      <c r="N3" s="26" t="s">
        <v>8</v>
      </c>
      <c r="O3" s="26" t="s">
        <v>10</v>
      </c>
      <c r="P3" s="16">
        <f t="shared" si="0"/>
        <v>0</v>
      </c>
      <c r="Q3" s="16">
        <v>0</v>
      </c>
      <c r="R3" s="16">
        <v>0</v>
      </c>
      <c r="S3" s="16">
        <v>0</v>
      </c>
      <c r="T3" s="16">
        <v>0</v>
      </c>
      <c r="U3" s="16" t="s">
        <v>10</v>
      </c>
      <c r="V3" s="16">
        <f t="shared" ref="V3:V66" si="1">SUM(W3:Z3)</f>
        <v>0</v>
      </c>
      <c r="W3" s="16">
        <v>0</v>
      </c>
      <c r="X3" s="16">
        <v>0</v>
      </c>
      <c r="Y3" s="16">
        <v>0</v>
      </c>
      <c r="Z3" s="16">
        <v>0</v>
      </c>
      <c r="AA3" s="16" t="s">
        <v>10</v>
      </c>
      <c r="AB3" s="16" t="s">
        <v>10</v>
      </c>
      <c r="AD3" s="20" t="s">
        <v>321</v>
      </c>
      <c r="AE3" s="16" t="s">
        <v>10</v>
      </c>
    </row>
    <row r="4" spans="1:31" x14ac:dyDescent="0.2">
      <c r="A4" s="7" t="s">
        <v>11</v>
      </c>
      <c r="B4" s="7" t="s">
        <v>160</v>
      </c>
      <c r="C4" s="7" t="s">
        <v>164</v>
      </c>
      <c r="D4" s="7" t="s">
        <v>8</v>
      </c>
      <c r="E4" s="7" t="s">
        <v>10</v>
      </c>
      <c r="F4" s="7" t="s">
        <v>7</v>
      </c>
      <c r="G4" s="9">
        <v>28.860658645629883</v>
      </c>
      <c r="H4" s="10">
        <v>27.157321929931641</v>
      </c>
      <c r="I4" s="11" t="s">
        <v>183</v>
      </c>
      <c r="J4" s="12">
        <v>18.287065505981445</v>
      </c>
      <c r="K4" s="13" t="s">
        <v>7</v>
      </c>
      <c r="L4" s="26" t="s">
        <v>8</v>
      </c>
      <c r="M4" s="26" t="s">
        <v>10</v>
      </c>
      <c r="N4" s="26" t="s">
        <v>8</v>
      </c>
      <c r="O4" s="26" t="s">
        <v>10</v>
      </c>
      <c r="P4" s="16">
        <f t="shared" si="0"/>
        <v>0</v>
      </c>
      <c r="Q4" s="16">
        <v>0</v>
      </c>
      <c r="R4" s="16">
        <v>0</v>
      </c>
      <c r="S4" s="16">
        <v>0</v>
      </c>
      <c r="T4" s="16">
        <v>0</v>
      </c>
      <c r="U4" s="16" t="s">
        <v>10</v>
      </c>
      <c r="V4" s="16">
        <f t="shared" si="1"/>
        <v>0</v>
      </c>
      <c r="W4" s="16">
        <v>0</v>
      </c>
      <c r="X4" s="16">
        <v>0</v>
      </c>
      <c r="Y4" s="16">
        <v>0</v>
      </c>
      <c r="Z4" s="16">
        <v>0</v>
      </c>
      <c r="AA4" s="16" t="s">
        <v>10</v>
      </c>
      <c r="AB4" s="16" t="s">
        <v>10</v>
      </c>
      <c r="AD4" s="20" t="s">
        <v>420</v>
      </c>
      <c r="AE4" s="16" t="s">
        <v>10</v>
      </c>
    </row>
    <row r="5" spans="1:31" x14ac:dyDescent="0.2">
      <c r="A5" s="7" t="s">
        <v>12</v>
      </c>
      <c r="B5" s="7" t="s">
        <v>160</v>
      </c>
      <c r="C5" s="7" t="s">
        <v>164</v>
      </c>
      <c r="D5" s="7" t="s">
        <v>8</v>
      </c>
      <c r="E5" s="7" t="s">
        <v>10</v>
      </c>
      <c r="F5" s="7" t="s">
        <v>8</v>
      </c>
      <c r="G5" s="9">
        <v>32.619194030761719</v>
      </c>
      <c r="H5" s="10">
        <v>21.261640548706101</v>
      </c>
      <c r="I5" s="11" t="s">
        <v>184</v>
      </c>
      <c r="J5" s="12">
        <v>16.726154327392578</v>
      </c>
      <c r="K5" s="13" t="s">
        <v>8</v>
      </c>
      <c r="L5" s="26" t="s">
        <v>8</v>
      </c>
      <c r="M5" s="26" t="s">
        <v>10</v>
      </c>
      <c r="N5" s="26" t="s">
        <v>8</v>
      </c>
      <c r="O5" s="26" t="s">
        <v>10</v>
      </c>
      <c r="P5" s="16">
        <f t="shared" si="0"/>
        <v>0</v>
      </c>
      <c r="Q5" s="16">
        <v>0</v>
      </c>
      <c r="R5" s="16">
        <v>0</v>
      </c>
      <c r="S5" s="16">
        <v>0</v>
      </c>
      <c r="T5" s="16">
        <v>0</v>
      </c>
      <c r="U5" s="16" t="s">
        <v>10</v>
      </c>
      <c r="V5" s="16">
        <f t="shared" si="1"/>
        <v>0</v>
      </c>
      <c r="W5" s="16">
        <v>0</v>
      </c>
      <c r="X5" s="16">
        <v>0</v>
      </c>
      <c r="Y5" s="16">
        <v>0</v>
      </c>
      <c r="Z5" s="16">
        <v>0</v>
      </c>
      <c r="AA5" s="16" t="s">
        <v>10</v>
      </c>
      <c r="AB5" s="16" t="s">
        <v>10</v>
      </c>
      <c r="AD5" s="20" t="s">
        <v>313</v>
      </c>
      <c r="AE5" s="16" t="s">
        <v>10</v>
      </c>
    </row>
    <row r="6" spans="1:31" x14ac:dyDescent="0.2">
      <c r="A6" s="7" t="s">
        <v>13</v>
      </c>
      <c r="B6" s="7" t="s">
        <v>160</v>
      </c>
      <c r="C6" s="7" t="s">
        <v>164</v>
      </c>
      <c r="D6" s="7" t="s">
        <v>7</v>
      </c>
      <c r="E6" s="7" t="s">
        <v>7</v>
      </c>
      <c r="F6" s="7" t="s">
        <v>8</v>
      </c>
      <c r="G6" s="9">
        <v>8.1039438247680664</v>
      </c>
      <c r="H6" s="10">
        <v>13.541867256164551</v>
      </c>
      <c r="I6" s="11" t="s">
        <v>183</v>
      </c>
      <c r="J6" s="12">
        <v>18.335382461547852</v>
      </c>
      <c r="K6" s="13" t="s">
        <v>7</v>
      </c>
      <c r="L6" s="26" t="s">
        <v>7</v>
      </c>
      <c r="M6" s="26" t="s">
        <v>7</v>
      </c>
      <c r="N6" s="26" t="s">
        <v>7</v>
      </c>
      <c r="O6" s="26" t="s">
        <v>7</v>
      </c>
      <c r="P6" s="16">
        <f t="shared" si="0"/>
        <v>4</v>
      </c>
      <c r="Q6" s="1">
        <v>1</v>
      </c>
      <c r="R6" s="16">
        <v>1</v>
      </c>
      <c r="S6" s="16">
        <v>1</v>
      </c>
      <c r="T6" s="1">
        <v>1</v>
      </c>
      <c r="U6" s="1" t="s">
        <v>8</v>
      </c>
      <c r="V6" s="16">
        <f t="shared" si="1"/>
        <v>4</v>
      </c>
      <c r="W6" s="1">
        <v>1</v>
      </c>
      <c r="X6" s="16">
        <v>1</v>
      </c>
      <c r="Y6" s="16">
        <v>1</v>
      </c>
      <c r="Z6" s="1">
        <v>1</v>
      </c>
      <c r="AA6" s="1" t="s">
        <v>289</v>
      </c>
      <c r="AB6" s="1" t="s">
        <v>183</v>
      </c>
      <c r="AC6" t="s">
        <v>210</v>
      </c>
      <c r="AD6" s="20" t="s">
        <v>340</v>
      </c>
      <c r="AE6" s="4">
        <v>4676.61839854347</v>
      </c>
    </row>
    <row r="7" spans="1:31" ht="17" customHeight="1" x14ac:dyDescent="0.2">
      <c r="A7" s="7" t="s">
        <v>14</v>
      </c>
      <c r="B7" s="7" t="s">
        <v>160</v>
      </c>
      <c r="C7" s="7" t="s">
        <v>164</v>
      </c>
      <c r="D7" s="7" t="s">
        <v>8</v>
      </c>
      <c r="E7" s="7" t="s">
        <v>10</v>
      </c>
      <c r="F7" s="7" t="s">
        <v>8</v>
      </c>
      <c r="G7" s="9">
        <v>16.105279922485352</v>
      </c>
      <c r="H7" s="10">
        <v>30.9161987304687</v>
      </c>
      <c r="I7" s="11" t="s">
        <v>183</v>
      </c>
      <c r="J7" s="12">
        <v>15.884773254394531</v>
      </c>
      <c r="K7" s="13" t="s">
        <v>8</v>
      </c>
      <c r="L7" s="26" t="s">
        <v>8</v>
      </c>
      <c r="M7" s="26" t="s">
        <v>10</v>
      </c>
      <c r="N7" s="26" t="s">
        <v>8</v>
      </c>
      <c r="O7" s="26" t="s">
        <v>10</v>
      </c>
      <c r="P7" s="16">
        <f t="shared" si="0"/>
        <v>0</v>
      </c>
      <c r="Q7" s="16">
        <v>0</v>
      </c>
      <c r="R7" s="16">
        <v>0</v>
      </c>
      <c r="S7" s="16">
        <v>0</v>
      </c>
      <c r="T7" s="16">
        <v>0</v>
      </c>
      <c r="U7" s="16" t="s">
        <v>10</v>
      </c>
      <c r="V7" s="16">
        <f t="shared" si="1"/>
        <v>0</v>
      </c>
      <c r="W7" s="16">
        <v>0</v>
      </c>
      <c r="X7" s="16">
        <v>0</v>
      </c>
      <c r="Y7" s="16">
        <v>0</v>
      </c>
      <c r="Z7" s="16">
        <v>0</v>
      </c>
      <c r="AA7" s="16" t="s">
        <v>10</v>
      </c>
      <c r="AB7" s="16" t="s">
        <v>10</v>
      </c>
      <c r="AD7" s="20" t="s">
        <v>412</v>
      </c>
      <c r="AE7" s="16" t="s">
        <v>10</v>
      </c>
    </row>
    <row r="8" spans="1:31" x14ac:dyDescent="0.2">
      <c r="A8" s="7" t="s">
        <v>15</v>
      </c>
      <c r="B8" s="7" t="s">
        <v>160</v>
      </c>
      <c r="C8" s="7" t="s">
        <v>164</v>
      </c>
      <c r="D8" s="7" t="s">
        <v>7</v>
      </c>
      <c r="E8" s="7" t="s">
        <v>7</v>
      </c>
      <c r="F8" s="7" t="s">
        <v>8</v>
      </c>
      <c r="G8" s="9">
        <v>29.116630554199219</v>
      </c>
      <c r="H8" s="10">
        <v>18.636808395385742</v>
      </c>
      <c r="I8" s="11" t="s">
        <v>183</v>
      </c>
      <c r="J8" s="12">
        <v>15.294843673706055</v>
      </c>
      <c r="K8" s="13" t="s">
        <v>7</v>
      </c>
      <c r="L8" s="26" t="s">
        <v>8</v>
      </c>
      <c r="M8" s="26" t="s">
        <v>10</v>
      </c>
      <c r="N8" s="26" t="s">
        <v>7</v>
      </c>
      <c r="O8" s="26" t="s">
        <v>7</v>
      </c>
      <c r="P8" s="16">
        <f t="shared" si="0"/>
        <v>3</v>
      </c>
      <c r="Q8" s="1">
        <v>1</v>
      </c>
      <c r="R8" s="16">
        <v>1</v>
      </c>
      <c r="S8" s="16">
        <v>1</v>
      </c>
      <c r="T8" s="16">
        <v>0</v>
      </c>
      <c r="U8" s="16" t="s">
        <v>8</v>
      </c>
      <c r="V8" s="16">
        <f t="shared" si="1"/>
        <v>3</v>
      </c>
      <c r="W8" s="1">
        <v>1</v>
      </c>
      <c r="X8" s="16">
        <v>1</v>
      </c>
      <c r="Y8" s="16">
        <v>1</v>
      </c>
      <c r="Z8" s="16">
        <v>0</v>
      </c>
      <c r="AA8" s="16" t="s">
        <v>289</v>
      </c>
      <c r="AB8" s="16" t="s">
        <v>184</v>
      </c>
      <c r="AC8" t="s">
        <v>211</v>
      </c>
      <c r="AD8" s="20" t="s">
        <v>414</v>
      </c>
      <c r="AE8" s="4">
        <v>300.65634480631098</v>
      </c>
    </row>
    <row r="9" spans="1:31" x14ac:dyDescent="0.2">
      <c r="A9" s="7" t="s">
        <v>16</v>
      </c>
      <c r="B9" s="7" t="s">
        <v>160</v>
      </c>
      <c r="C9" s="7" t="s">
        <v>164</v>
      </c>
      <c r="D9" s="7" t="s">
        <v>7</v>
      </c>
      <c r="E9" s="7" t="s">
        <v>7</v>
      </c>
      <c r="F9" s="7" t="s">
        <v>8</v>
      </c>
      <c r="G9" s="9">
        <v>30.893093109130859</v>
      </c>
      <c r="H9" s="27">
        <v>19.651</v>
      </c>
      <c r="I9" s="28" t="s">
        <v>184</v>
      </c>
      <c r="J9" s="12">
        <v>18.129909515380859</v>
      </c>
      <c r="K9" s="13" t="s">
        <v>7</v>
      </c>
      <c r="L9" s="26" t="s">
        <v>8</v>
      </c>
      <c r="M9" s="26" t="s">
        <v>10</v>
      </c>
      <c r="N9" s="26" t="s">
        <v>7</v>
      </c>
      <c r="O9" s="26" t="s">
        <v>7</v>
      </c>
      <c r="P9" s="16">
        <f t="shared" si="0"/>
        <v>3</v>
      </c>
      <c r="Q9" s="1">
        <v>1</v>
      </c>
      <c r="R9" s="16">
        <v>1</v>
      </c>
      <c r="S9" s="16">
        <v>1</v>
      </c>
      <c r="T9" s="16">
        <v>0</v>
      </c>
      <c r="U9" s="16" t="s">
        <v>8</v>
      </c>
      <c r="V9" s="16">
        <f t="shared" si="1"/>
        <v>3</v>
      </c>
      <c r="W9" s="1">
        <v>1</v>
      </c>
      <c r="X9" s="16">
        <v>1</v>
      </c>
      <c r="Y9" s="16">
        <v>1</v>
      </c>
      <c r="Z9" s="16">
        <v>0</v>
      </c>
      <c r="AA9" s="16" t="s">
        <v>289</v>
      </c>
      <c r="AB9" s="16" t="s">
        <v>184</v>
      </c>
      <c r="AC9" t="s">
        <v>212</v>
      </c>
      <c r="AD9" s="20" t="s">
        <v>422</v>
      </c>
      <c r="AE9" s="4">
        <v>390.97363014981897</v>
      </c>
    </row>
    <row r="10" spans="1:31" x14ac:dyDescent="0.2">
      <c r="A10" s="7" t="s">
        <v>17</v>
      </c>
      <c r="B10" s="7" t="s">
        <v>160</v>
      </c>
      <c r="C10" s="7" t="s">
        <v>164</v>
      </c>
      <c r="D10" s="7" t="s">
        <v>7</v>
      </c>
      <c r="E10" s="7" t="s">
        <v>7</v>
      </c>
      <c r="F10" s="7" t="s">
        <v>8</v>
      </c>
      <c r="G10" s="9">
        <v>18.048595428466797</v>
      </c>
      <c r="H10" s="10">
        <v>19.685928344726562</v>
      </c>
      <c r="I10" s="11" t="s">
        <v>183</v>
      </c>
      <c r="J10" s="12">
        <v>17.752546310424805</v>
      </c>
      <c r="K10" s="13" t="s">
        <v>7</v>
      </c>
      <c r="L10" s="26" t="s">
        <v>7</v>
      </c>
      <c r="M10" s="26" t="s">
        <v>7</v>
      </c>
      <c r="N10" s="16" t="s">
        <v>7</v>
      </c>
      <c r="O10" s="16" t="s">
        <v>7</v>
      </c>
      <c r="P10" s="16">
        <f t="shared" si="0"/>
        <v>4</v>
      </c>
      <c r="Q10" s="1">
        <v>1</v>
      </c>
      <c r="R10" s="16">
        <v>1</v>
      </c>
      <c r="S10" s="16">
        <v>1</v>
      </c>
      <c r="T10" s="1">
        <v>1</v>
      </c>
      <c r="U10" s="1" t="s">
        <v>8</v>
      </c>
      <c r="V10" s="16">
        <f t="shared" si="1"/>
        <v>4</v>
      </c>
      <c r="W10" s="1">
        <v>1</v>
      </c>
      <c r="X10" s="16">
        <v>1</v>
      </c>
      <c r="Y10" s="16">
        <v>1</v>
      </c>
      <c r="Z10" s="1">
        <v>1</v>
      </c>
      <c r="AA10" s="1" t="s">
        <v>289</v>
      </c>
      <c r="AB10" s="1" t="s">
        <v>183</v>
      </c>
      <c r="AC10" t="s">
        <v>213</v>
      </c>
      <c r="AD10" s="20" t="s">
        <v>430</v>
      </c>
      <c r="AE10" s="5">
        <v>73.351929047099404</v>
      </c>
    </row>
    <row r="11" spans="1:31" x14ac:dyDescent="0.2">
      <c r="A11" s="7" t="s">
        <v>18</v>
      </c>
      <c r="B11" s="7" t="s">
        <v>160</v>
      </c>
      <c r="C11" s="7" t="s">
        <v>164</v>
      </c>
      <c r="D11" s="7" t="s">
        <v>8</v>
      </c>
      <c r="E11" s="7" t="s">
        <v>10</v>
      </c>
      <c r="F11" s="7" t="s">
        <v>7</v>
      </c>
      <c r="G11" s="9">
        <v>24.435403823852539</v>
      </c>
      <c r="H11" s="27">
        <v>28.116</v>
      </c>
      <c r="I11" s="28" t="s">
        <v>183</v>
      </c>
      <c r="J11" s="12">
        <v>16.950372695922852</v>
      </c>
      <c r="K11" s="13" t="s">
        <v>7</v>
      </c>
      <c r="L11" s="26" t="s">
        <v>8</v>
      </c>
      <c r="M11" s="26" t="s">
        <v>10</v>
      </c>
      <c r="N11" s="14" t="s">
        <v>8</v>
      </c>
      <c r="O11" s="15" t="s">
        <v>10</v>
      </c>
      <c r="P11" s="16">
        <f t="shared" si="0"/>
        <v>0</v>
      </c>
      <c r="Q11" s="16">
        <v>0</v>
      </c>
      <c r="R11" s="16">
        <v>0</v>
      </c>
      <c r="S11" s="16">
        <v>0</v>
      </c>
      <c r="T11" s="16">
        <v>0</v>
      </c>
      <c r="U11" s="16" t="s">
        <v>10</v>
      </c>
      <c r="V11" s="16">
        <v>1</v>
      </c>
      <c r="W11" s="16">
        <v>0</v>
      </c>
      <c r="X11" s="16">
        <v>0</v>
      </c>
      <c r="Y11" s="16">
        <v>0</v>
      </c>
      <c r="Z11" s="16">
        <v>0</v>
      </c>
      <c r="AA11" s="16" t="s">
        <v>10</v>
      </c>
      <c r="AB11" s="16" t="s">
        <v>10</v>
      </c>
      <c r="AD11" s="20" t="s">
        <v>442</v>
      </c>
      <c r="AE11" s="16" t="s">
        <v>10</v>
      </c>
    </row>
    <row r="12" spans="1:31" x14ac:dyDescent="0.2">
      <c r="A12" s="7" t="s">
        <v>19</v>
      </c>
      <c r="B12" s="7" t="s">
        <v>160</v>
      </c>
      <c r="C12" s="7" t="s">
        <v>164</v>
      </c>
      <c r="D12" s="7" t="s">
        <v>7</v>
      </c>
      <c r="E12" s="7" t="s">
        <v>7</v>
      </c>
      <c r="F12" s="7" t="s">
        <v>8</v>
      </c>
      <c r="G12" s="7">
        <v>0</v>
      </c>
      <c r="H12" s="10">
        <v>23.514532089233398</v>
      </c>
      <c r="I12" s="11" t="s">
        <v>184</v>
      </c>
      <c r="J12" s="12">
        <v>18.877391815185547</v>
      </c>
      <c r="K12" s="13" t="s">
        <v>7</v>
      </c>
      <c r="L12" s="26" t="s">
        <v>8</v>
      </c>
      <c r="M12" s="26" t="s">
        <v>10</v>
      </c>
      <c r="N12" s="26" t="s">
        <v>7</v>
      </c>
      <c r="O12" s="26" t="s">
        <v>7</v>
      </c>
      <c r="P12" s="16">
        <f t="shared" si="0"/>
        <v>3</v>
      </c>
      <c r="Q12" s="1">
        <v>1</v>
      </c>
      <c r="R12" s="16">
        <v>1</v>
      </c>
      <c r="S12" s="16">
        <v>1</v>
      </c>
      <c r="T12" s="16">
        <v>0</v>
      </c>
      <c r="U12" s="16" t="s">
        <v>8</v>
      </c>
      <c r="V12" s="16">
        <f t="shared" si="1"/>
        <v>3</v>
      </c>
      <c r="W12" s="1">
        <v>1</v>
      </c>
      <c r="X12" s="16">
        <v>1</v>
      </c>
      <c r="Y12" s="16">
        <v>1</v>
      </c>
      <c r="Z12" s="16">
        <v>0</v>
      </c>
      <c r="AA12" s="16" t="s">
        <v>289</v>
      </c>
      <c r="AB12" s="16" t="s">
        <v>184</v>
      </c>
      <c r="AC12" t="s">
        <v>221</v>
      </c>
      <c r="AD12" s="20" t="s">
        <v>320</v>
      </c>
      <c r="AE12" s="4">
        <v>249.08448052841001</v>
      </c>
    </row>
    <row r="13" spans="1:31" x14ac:dyDescent="0.2">
      <c r="A13" s="7" t="s">
        <v>20</v>
      </c>
      <c r="B13" s="7" t="s">
        <v>160</v>
      </c>
      <c r="C13" s="7" t="s">
        <v>164</v>
      </c>
      <c r="D13" s="7" t="s">
        <v>7</v>
      </c>
      <c r="E13" s="7" t="s">
        <v>7</v>
      </c>
      <c r="F13" s="7" t="s">
        <v>8</v>
      </c>
      <c r="G13" s="9">
        <v>19.89544677734375</v>
      </c>
      <c r="H13" s="10">
        <v>20.012363433837891</v>
      </c>
      <c r="I13" s="11" t="s">
        <v>183</v>
      </c>
      <c r="J13" s="12">
        <v>19.044429779052734</v>
      </c>
      <c r="K13" s="13" t="s">
        <v>7</v>
      </c>
      <c r="L13" s="26" t="s">
        <v>7</v>
      </c>
      <c r="M13" s="26" t="s">
        <v>7</v>
      </c>
      <c r="N13" s="26" t="s">
        <v>7</v>
      </c>
      <c r="O13" s="26" t="s">
        <v>7</v>
      </c>
      <c r="P13" s="16">
        <f t="shared" si="0"/>
        <v>4</v>
      </c>
      <c r="Q13" s="1">
        <v>1</v>
      </c>
      <c r="R13" s="16">
        <v>1</v>
      </c>
      <c r="S13" s="16">
        <v>1</v>
      </c>
      <c r="T13" s="16">
        <v>1</v>
      </c>
      <c r="U13" s="16" t="s">
        <v>8</v>
      </c>
      <c r="V13" s="16">
        <f t="shared" si="1"/>
        <v>4</v>
      </c>
      <c r="W13" s="1">
        <v>1</v>
      </c>
      <c r="X13" s="16">
        <v>1</v>
      </c>
      <c r="Y13" s="16">
        <v>1</v>
      </c>
      <c r="Z13" s="16">
        <v>1</v>
      </c>
      <c r="AA13" s="16" t="s">
        <v>289</v>
      </c>
      <c r="AB13" s="16" t="s">
        <v>183</v>
      </c>
      <c r="AC13" t="s">
        <v>220</v>
      </c>
      <c r="AD13" s="20" t="s">
        <v>351</v>
      </c>
      <c r="AE13" s="4">
        <v>1044.9804774929401</v>
      </c>
    </row>
    <row r="14" spans="1:31" x14ac:dyDescent="0.2">
      <c r="A14" s="7" t="s">
        <v>21</v>
      </c>
      <c r="B14" s="7" t="s">
        <v>160</v>
      </c>
      <c r="C14" s="7" t="s">
        <v>164</v>
      </c>
      <c r="D14" s="7" t="s">
        <v>7</v>
      </c>
      <c r="E14" s="7" t="s">
        <v>8</v>
      </c>
      <c r="F14" s="7" t="s">
        <v>7</v>
      </c>
      <c r="G14" s="9">
        <v>29.738790512084961</v>
      </c>
      <c r="H14" s="10">
        <v>30.207534790039062</v>
      </c>
      <c r="I14" s="11" t="s">
        <v>183</v>
      </c>
      <c r="J14" s="12">
        <v>18.921548843383789</v>
      </c>
      <c r="K14" s="13" t="s">
        <v>7</v>
      </c>
      <c r="L14" s="26" t="s">
        <v>8</v>
      </c>
      <c r="M14" s="26" t="s">
        <v>10</v>
      </c>
      <c r="N14" s="14" t="s">
        <v>7</v>
      </c>
      <c r="O14" s="15" t="s">
        <v>8</v>
      </c>
      <c r="P14" s="16">
        <f t="shared" si="0"/>
        <v>0</v>
      </c>
      <c r="Q14" s="16">
        <v>0</v>
      </c>
      <c r="R14" s="16">
        <v>0</v>
      </c>
      <c r="S14" s="16">
        <v>0</v>
      </c>
      <c r="T14" s="16">
        <v>0</v>
      </c>
      <c r="U14" s="16" t="s">
        <v>10</v>
      </c>
      <c r="V14" s="16">
        <f t="shared" si="1"/>
        <v>0</v>
      </c>
      <c r="W14" s="1">
        <v>0</v>
      </c>
      <c r="X14" s="16">
        <v>0</v>
      </c>
      <c r="Y14" s="16">
        <v>0</v>
      </c>
      <c r="Z14" s="16">
        <v>0</v>
      </c>
      <c r="AA14" s="16" t="s">
        <v>289</v>
      </c>
      <c r="AB14" s="16" t="s">
        <v>10</v>
      </c>
      <c r="AD14" s="20" t="s">
        <v>385</v>
      </c>
      <c r="AE14" s="4">
        <v>1.0672835280849999</v>
      </c>
    </row>
    <row r="15" spans="1:31" x14ac:dyDescent="0.2">
      <c r="A15" s="7" t="s">
        <v>22</v>
      </c>
      <c r="B15" s="7" t="s">
        <v>160</v>
      </c>
      <c r="C15" s="7" t="s">
        <v>164</v>
      </c>
      <c r="D15" s="7" t="s">
        <v>7</v>
      </c>
      <c r="E15" s="7" t="s">
        <v>8</v>
      </c>
      <c r="F15" s="7" t="s">
        <v>8</v>
      </c>
      <c r="G15" s="9">
        <v>11.918850898742676</v>
      </c>
      <c r="H15" s="29">
        <v>11.71</v>
      </c>
      <c r="I15" s="30" t="s">
        <v>183</v>
      </c>
      <c r="J15" s="12">
        <v>17.092691421508789</v>
      </c>
      <c r="K15" s="13" t="s">
        <v>8</v>
      </c>
      <c r="L15" s="26" t="s">
        <v>7</v>
      </c>
      <c r="M15" s="26" t="s">
        <v>7</v>
      </c>
      <c r="N15" s="14" t="s">
        <v>7</v>
      </c>
      <c r="O15" s="15" t="s">
        <v>7</v>
      </c>
      <c r="P15" s="16">
        <f t="shared" si="0"/>
        <v>4</v>
      </c>
      <c r="Q15" s="1">
        <v>1</v>
      </c>
      <c r="R15" s="16">
        <v>1</v>
      </c>
      <c r="S15" s="16">
        <v>1</v>
      </c>
      <c r="T15" s="1">
        <v>1</v>
      </c>
      <c r="U15" s="1" t="s">
        <v>8</v>
      </c>
      <c r="V15" s="16">
        <f t="shared" si="1"/>
        <v>4</v>
      </c>
      <c r="W15" s="1">
        <v>1</v>
      </c>
      <c r="X15" s="16">
        <v>1</v>
      </c>
      <c r="Y15" s="16">
        <v>1</v>
      </c>
      <c r="Z15" s="1">
        <v>1</v>
      </c>
      <c r="AA15" s="1" t="s">
        <v>289</v>
      </c>
      <c r="AB15" s="1" t="s">
        <v>183</v>
      </c>
      <c r="AC15" t="s">
        <v>216</v>
      </c>
      <c r="AD15" s="20" t="s">
        <v>381</v>
      </c>
      <c r="AE15" s="4">
        <v>17538.201700597401</v>
      </c>
    </row>
    <row r="16" spans="1:31" x14ac:dyDescent="0.2">
      <c r="A16" s="7" t="s">
        <v>23</v>
      </c>
      <c r="B16" s="7" t="s">
        <v>160</v>
      </c>
      <c r="C16" s="7" t="s">
        <v>164</v>
      </c>
      <c r="D16" s="7" t="s">
        <v>7</v>
      </c>
      <c r="E16" s="7" t="s">
        <v>7</v>
      </c>
      <c r="F16" s="7" t="s">
        <v>8</v>
      </c>
      <c r="G16" s="9">
        <v>30.121604919433594</v>
      </c>
      <c r="H16" s="29">
        <v>20.716000000000001</v>
      </c>
      <c r="I16" s="30" t="s">
        <v>184</v>
      </c>
      <c r="J16" s="12">
        <v>16.791999816894531</v>
      </c>
      <c r="K16" s="13" t="s">
        <v>7</v>
      </c>
      <c r="L16" s="26" t="s">
        <v>8</v>
      </c>
      <c r="M16" s="26" t="s">
        <v>10</v>
      </c>
      <c r="N16" s="14" t="s">
        <v>7</v>
      </c>
      <c r="O16" s="15" t="s">
        <v>7</v>
      </c>
      <c r="P16" s="16">
        <f t="shared" si="0"/>
        <v>3</v>
      </c>
      <c r="Q16" s="1">
        <v>1</v>
      </c>
      <c r="R16" s="16">
        <v>1</v>
      </c>
      <c r="S16" s="16">
        <v>1</v>
      </c>
      <c r="T16" s="16">
        <v>0</v>
      </c>
      <c r="U16" s="16" t="s">
        <v>8</v>
      </c>
      <c r="V16" s="16">
        <f t="shared" si="1"/>
        <v>3</v>
      </c>
      <c r="W16" s="1">
        <v>1</v>
      </c>
      <c r="X16" s="16">
        <v>1</v>
      </c>
      <c r="Y16" s="16">
        <v>1</v>
      </c>
      <c r="Z16" s="16">
        <v>0</v>
      </c>
      <c r="AA16" s="16" t="s">
        <v>289</v>
      </c>
      <c r="AB16" s="16" t="s">
        <v>184</v>
      </c>
      <c r="AC16" t="s">
        <v>217</v>
      </c>
      <c r="AD16" s="20" t="s">
        <v>377</v>
      </c>
      <c r="AE16" s="4">
        <v>198.87920853009501</v>
      </c>
    </row>
    <row r="17" spans="1:31" x14ac:dyDescent="0.2">
      <c r="A17" s="7" t="s">
        <v>24</v>
      </c>
      <c r="B17" s="7" t="s">
        <v>160</v>
      </c>
      <c r="C17" s="7" t="s">
        <v>164</v>
      </c>
      <c r="D17" s="7" t="s">
        <v>7</v>
      </c>
      <c r="E17" s="7" t="s">
        <v>7</v>
      </c>
      <c r="F17" s="7" t="s">
        <v>7</v>
      </c>
      <c r="G17" s="9">
        <v>25.069606781005859</v>
      </c>
      <c r="H17" s="29">
        <v>24.75</v>
      </c>
      <c r="I17" s="30" t="s">
        <v>183</v>
      </c>
      <c r="J17" s="12">
        <v>15.803861618041992</v>
      </c>
      <c r="K17" s="13" t="s">
        <v>7</v>
      </c>
      <c r="L17" s="26" t="s">
        <v>7</v>
      </c>
      <c r="M17" s="26" t="s">
        <v>7</v>
      </c>
      <c r="N17" s="14" t="s">
        <v>7</v>
      </c>
      <c r="O17" s="15" t="s">
        <v>7</v>
      </c>
      <c r="P17" s="16">
        <f t="shared" si="0"/>
        <v>5</v>
      </c>
      <c r="Q17" s="1">
        <v>1</v>
      </c>
      <c r="R17" s="16">
        <v>1</v>
      </c>
      <c r="S17" s="16">
        <v>2</v>
      </c>
      <c r="T17" s="1">
        <v>1</v>
      </c>
      <c r="U17" s="1" t="s">
        <v>7</v>
      </c>
      <c r="V17" s="16">
        <f t="shared" si="1"/>
        <v>5</v>
      </c>
      <c r="W17" s="1">
        <v>1</v>
      </c>
      <c r="X17" s="16">
        <v>1</v>
      </c>
      <c r="Y17" s="16">
        <v>2</v>
      </c>
      <c r="Z17" s="1">
        <v>1</v>
      </c>
      <c r="AA17" s="1" t="s">
        <v>288</v>
      </c>
      <c r="AB17" s="1" t="s">
        <v>183</v>
      </c>
      <c r="AC17" t="s">
        <v>218</v>
      </c>
      <c r="AD17" s="20" t="s">
        <v>401</v>
      </c>
      <c r="AE17" s="4">
        <v>546.17376033020105</v>
      </c>
    </row>
    <row r="18" spans="1:31" x14ac:dyDescent="0.2">
      <c r="A18" s="7" t="s">
        <v>25</v>
      </c>
      <c r="B18" s="7" t="s">
        <v>160</v>
      </c>
      <c r="C18" s="7" t="s">
        <v>164</v>
      </c>
      <c r="D18" s="7" t="s">
        <v>7</v>
      </c>
      <c r="E18" s="7" t="s">
        <v>7</v>
      </c>
      <c r="F18" s="7" t="s">
        <v>8</v>
      </c>
      <c r="G18" s="9">
        <v>30.250871658325195</v>
      </c>
      <c r="H18" s="29">
        <v>19.748000000000001</v>
      </c>
      <c r="I18" s="30" t="s">
        <v>184</v>
      </c>
      <c r="J18" s="12">
        <v>18.80122184753418</v>
      </c>
      <c r="K18" s="13" t="s">
        <v>7</v>
      </c>
      <c r="L18" s="26" t="s">
        <v>8</v>
      </c>
      <c r="M18" s="26" t="s">
        <v>10</v>
      </c>
      <c r="N18" s="14" t="s">
        <v>7</v>
      </c>
      <c r="O18" s="15" t="s">
        <v>7</v>
      </c>
      <c r="P18" s="16">
        <f t="shared" si="0"/>
        <v>3</v>
      </c>
      <c r="Q18" s="1">
        <v>1</v>
      </c>
      <c r="R18" s="16">
        <v>1</v>
      </c>
      <c r="S18" s="16">
        <v>1</v>
      </c>
      <c r="T18" s="16">
        <v>0</v>
      </c>
      <c r="U18" s="16" t="s">
        <v>8</v>
      </c>
      <c r="V18" s="16">
        <f t="shared" si="1"/>
        <v>3</v>
      </c>
      <c r="W18" s="1">
        <v>1</v>
      </c>
      <c r="X18" s="16">
        <v>1</v>
      </c>
      <c r="Y18" s="16">
        <v>1</v>
      </c>
      <c r="Z18" s="16">
        <v>0</v>
      </c>
      <c r="AA18" s="16" t="s">
        <v>289</v>
      </c>
      <c r="AB18" s="16" t="s">
        <v>184</v>
      </c>
      <c r="AC18" t="s">
        <v>219</v>
      </c>
      <c r="AD18" s="20" t="s">
        <v>389</v>
      </c>
      <c r="AE18" s="4">
        <v>493.12778545412903</v>
      </c>
    </row>
    <row r="19" spans="1:31" x14ac:dyDescent="0.2">
      <c r="A19" s="7" t="s">
        <v>26</v>
      </c>
      <c r="B19" s="7" t="s">
        <v>160</v>
      </c>
      <c r="C19" s="7" t="s">
        <v>164</v>
      </c>
      <c r="D19" s="7" t="s">
        <v>7</v>
      </c>
      <c r="E19" s="7" t="s">
        <v>7</v>
      </c>
      <c r="F19" s="7" t="s">
        <v>8</v>
      </c>
      <c r="G19" s="9">
        <v>29.679349899291992</v>
      </c>
      <c r="H19" s="10">
        <v>19.131689071655273</v>
      </c>
      <c r="I19" s="11" t="s">
        <v>183</v>
      </c>
      <c r="J19" s="12">
        <v>15.713371276855469</v>
      </c>
      <c r="K19" s="13" t="s">
        <v>7</v>
      </c>
      <c r="L19" s="26" t="s">
        <v>8</v>
      </c>
      <c r="M19" s="26" t="s">
        <v>10</v>
      </c>
      <c r="N19" s="14" t="s">
        <v>7</v>
      </c>
      <c r="O19" s="15" t="s">
        <v>7</v>
      </c>
      <c r="P19" s="16">
        <f t="shared" si="0"/>
        <v>3</v>
      </c>
      <c r="Q19" s="15">
        <v>1</v>
      </c>
      <c r="R19" s="16">
        <v>1</v>
      </c>
      <c r="S19" s="1">
        <v>1</v>
      </c>
      <c r="T19" s="1">
        <v>0</v>
      </c>
      <c r="U19" s="1" t="s">
        <v>8</v>
      </c>
      <c r="V19" s="16">
        <f t="shared" si="1"/>
        <v>3</v>
      </c>
      <c r="W19" s="15">
        <v>1</v>
      </c>
      <c r="X19" s="16">
        <v>1</v>
      </c>
      <c r="Y19" s="1">
        <v>1</v>
      </c>
      <c r="Z19" s="1">
        <v>0</v>
      </c>
      <c r="AA19" s="1" t="s">
        <v>289</v>
      </c>
      <c r="AB19" s="1" t="s">
        <v>184</v>
      </c>
      <c r="AC19" t="s">
        <v>214</v>
      </c>
      <c r="AD19" s="20" t="s">
        <v>401</v>
      </c>
      <c r="AE19" s="4">
        <v>82.542173517113696</v>
      </c>
    </row>
    <row r="20" spans="1:31" x14ac:dyDescent="0.2">
      <c r="A20" s="7" t="s">
        <v>27</v>
      </c>
      <c r="B20" s="7" t="s">
        <v>160</v>
      </c>
      <c r="C20" s="7" t="s">
        <v>164</v>
      </c>
      <c r="D20" s="7" t="s">
        <v>7</v>
      </c>
      <c r="E20" s="7" t="s">
        <v>8</v>
      </c>
      <c r="F20" s="7" t="s">
        <v>8</v>
      </c>
      <c r="G20" s="9">
        <v>26.432893753051758</v>
      </c>
      <c r="H20" s="10">
        <v>23.858524322509766</v>
      </c>
      <c r="I20" s="11" t="s">
        <v>183</v>
      </c>
      <c r="J20" s="12">
        <v>15.810419082641602</v>
      </c>
      <c r="K20" s="13" t="s">
        <v>8</v>
      </c>
      <c r="L20" s="16" t="s">
        <v>8</v>
      </c>
      <c r="M20" s="16" t="s">
        <v>8</v>
      </c>
      <c r="N20" s="16" t="s">
        <v>7</v>
      </c>
      <c r="O20" s="16" t="s">
        <v>8</v>
      </c>
      <c r="P20" s="16">
        <f t="shared" si="0"/>
        <v>0</v>
      </c>
      <c r="Q20" s="16">
        <v>0</v>
      </c>
      <c r="R20" s="16">
        <v>0</v>
      </c>
      <c r="S20" s="16">
        <v>0</v>
      </c>
      <c r="T20" s="16">
        <v>0</v>
      </c>
      <c r="U20" s="16" t="s">
        <v>10</v>
      </c>
      <c r="V20" s="16">
        <f t="shared" si="1"/>
        <v>0</v>
      </c>
      <c r="W20" s="16">
        <v>0</v>
      </c>
      <c r="X20" s="16">
        <v>0</v>
      </c>
      <c r="Y20" s="16">
        <v>0</v>
      </c>
      <c r="Z20" s="16">
        <v>0</v>
      </c>
      <c r="AA20" s="16" t="s">
        <v>289</v>
      </c>
      <c r="AB20" s="16" t="s">
        <v>10</v>
      </c>
      <c r="AD20" s="20" t="s">
        <v>400</v>
      </c>
      <c r="AE20" s="4">
        <v>5.3535719604257404</v>
      </c>
    </row>
    <row r="21" spans="1:31" x14ac:dyDescent="0.2">
      <c r="A21" s="7" t="s">
        <v>28</v>
      </c>
      <c r="B21" s="7" t="s">
        <v>160</v>
      </c>
      <c r="C21" s="7" t="s">
        <v>164</v>
      </c>
      <c r="D21" s="7" t="s">
        <v>7</v>
      </c>
      <c r="E21" s="7" t="s">
        <v>7</v>
      </c>
      <c r="F21" s="7" t="s">
        <v>7</v>
      </c>
      <c r="G21" s="9">
        <v>27.713842391967773</v>
      </c>
      <c r="H21" s="10">
        <v>27.248291015625</v>
      </c>
      <c r="I21" s="11" t="s">
        <v>183</v>
      </c>
      <c r="J21" s="12">
        <v>31.539651870727539</v>
      </c>
      <c r="K21" s="13" t="s">
        <v>7</v>
      </c>
      <c r="L21" s="14" t="s">
        <v>7</v>
      </c>
      <c r="M21" s="15" t="s">
        <v>7</v>
      </c>
      <c r="N21" s="15" t="s">
        <v>7</v>
      </c>
      <c r="O21" s="15" t="s">
        <v>7</v>
      </c>
      <c r="P21" s="16">
        <f t="shared" si="0"/>
        <v>4</v>
      </c>
      <c r="Q21" s="1">
        <v>1</v>
      </c>
      <c r="R21" s="1">
        <v>1</v>
      </c>
      <c r="S21" s="1">
        <v>1</v>
      </c>
      <c r="T21" s="1">
        <v>1</v>
      </c>
      <c r="U21" s="1" t="s">
        <v>8</v>
      </c>
      <c r="V21" s="16">
        <f t="shared" si="1"/>
        <v>4</v>
      </c>
      <c r="W21" s="1">
        <v>1</v>
      </c>
      <c r="X21" s="1">
        <v>1</v>
      </c>
      <c r="Y21" s="1">
        <v>1</v>
      </c>
      <c r="Z21" s="1">
        <v>1</v>
      </c>
      <c r="AA21" s="1" t="s">
        <v>289</v>
      </c>
      <c r="AB21" s="1" t="s">
        <v>183</v>
      </c>
      <c r="AC21" t="s">
        <v>215</v>
      </c>
      <c r="AD21" s="20" t="s">
        <v>397</v>
      </c>
      <c r="AE21" s="4">
        <v>3661.3206785873199</v>
      </c>
    </row>
    <row r="22" spans="1:31" x14ac:dyDescent="0.2">
      <c r="A22" s="7" t="s">
        <v>29</v>
      </c>
      <c r="B22" s="7" t="s">
        <v>160</v>
      </c>
      <c r="C22" s="7" t="s">
        <v>164</v>
      </c>
      <c r="D22" s="7" t="s">
        <v>8</v>
      </c>
      <c r="E22" s="7" t="s">
        <v>10</v>
      </c>
      <c r="F22" s="7" t="s">
        <v>8</v>
      </c>
      <c r="G22" s="9">
        <v>22.579870223999023</v>
      </c>
      <c r="H22" s="10">
        <v>31.992885589599609</v>
      </c>
      <c r="I22" s="11" t="s">
        <v>183</v>
      </c>
      <c r="J22" s="12">
        <v>15.710594177246094</v>
      </c>
      <c r="K22" s="13" t="s">
        <v>8</v>
      </c>
      <c r="L22" s="26" t="s">
        <v>8</v>
      </c>
      <c r="M22" s="26" t="s">
        <v>10</v>
      </c>
      <c r="N22" s="26" t="s">
        <v>8</v>
      </c>
      <c r="O22" s="26" t="s">
        <v>10</v>
      </c>
      <c r="P22" s="16">
        <f t="shared" si="0"/>
        <v>0</v>
      </c>
      <c r="Q22" s="16">
        <v>0</v>
      </c>
      <c r="R22" s="16">
        <v>0</v>
      </c>
      <c r="S22" s="16">
        <v>0</v>
      </c>
      <c r="T22" s="16">
        <v>0</v>
      </c>
      <c r="U22" s="16" t="s">
        <v>10</v>
      </c>
      <c r="V22" s="16">
        <f t="shared" si="1"/>
        <v>0</v>
      </c>
      <c r="W22" s="16">
        <v>0</v>
      </c>
      <c r="X22" s="16">
        <v>0</v>
      </c>
      <c r="Y22" s="16">
        <v>0</v>
      </c>
      <c r="Z22" s="16">
        <v>0</v>
      </c>
      <c r="AA22" s="16" t="s">
        <v>10</v>
      </c>
      <c r="AB22" s="16" t="s">
        <v>10</v>
      </c>
      <c r="AD22" s="20" t="s">
        <v>316</v>
      </c>
      <c r="AE22" s="16" t="s">
        <v>10</v>
      </c>
    </row>
    <row r="23" spans="1:31" x14ac:dyDescent="0.2">
      <c r="A23" s="7" t="s">
        <v>30</v>
      </c>
      <c r="B23" s="7" t="s">
        <v>160</v>
      </c>
      <c r="C23" s="7" t="s">
        <v>164</v>
      </c>
      <c r="D23" s="7" t="s">
        <v>7</v>
      </c>
      <c r="E23" s="7" t="s">
        <v>8</v>
      </c>
      <c r="F23" s="7" t="s">
        <v>7</v>
      </c>
      <c r="G23" s="9">
        <v>25.395845413208008</v>
      </c>
      <c r="H23" s="10">
        <v>27.582691192626953</v>
      </c>
      <c r="I23" s="11" t="s">
        <v>183</v>
      </c>
      <c r="J23" s="12">
        <v>18.956722259521484</v>
      </c>
      <c r="K23" s="13" t="s">
        <v>7</v>
      </c>
      <c r="L23" s="26" t="s">
        <v>8</v>
      </c>
      <c r="M23" s="26" t="s">
        <v>10</v>
      </c>
      <c r="N23" s="15" t="s">
        <v>7</v>
      </c>
      <c r="O23" s="15" t="s">
        <v>8</v>
      </c>
      <c r="P23" s="16">
        <f t="shared" si="0"/>
        <v>0</v>
      </c>
      <c r="Q23" s="16">
        <v>0</v>
      </c>
      <c r="R23" s="16">
        <v>0</v>
      </c>
      <c r="S23" s="16">
        <v>0</v>
      </c>
      <c r="T23" s="16">
        <v>0</v>
      </c>
      <c r="U23" s="16" t="s">
        <v>10</v>
      </c>
      <c r="V23" s="16">
        <f t="shared" si="1"/>
        <v>0</v>
      </c>
      <c r="W23" s="16">
        <v>0</v>
      </c>
      <c r="X23" s="16">
        <v>0</v>
      </c>
      <c r="Y23" s="16">
        <v>0</v>
      </c>
      <c r="Z23" s="16">
        <v>0</v>
      </c>
      <c r="AA23" s="16" t="s">
        <v>10</v>
      </c>
      <c r="AB23" s="16" t="s">
        <v>10</v>
      </c>
      <c r="AD23" s="20" t="s">
        <v>312</v>
      </c>
      <c r="AE23" s="16" t="s">
        <v>10</v>
      </c>
    </row>
    <row r="24" spans="1:31" x14ac:dyDescent="0.2">
      <c r="A24" s="7" t="s">
        <v>31</v>
      </c>
      <c r="B24" s="7" t="s">
        <v>160</v>
      </c>
      <c r="C24" s="7" t="s">
        <v>164</v>
      </c>
      <c r="D24" s="7" t="s">
        <v>7</v>
      </c>
      <c r="E24" s="7" t="s">
        <v>7</v>
      </c>
      <c r="F24" s="7" t="s">
        <v>8</v>
      </c>
      <c r="G24" s="9">
        <v>29.597885131835938</v>
      </c>
      <c r="H24" s="10">
        <v>17.892337799072266</v>
      </c>
      <c r="I24" s="11" t="s">
        <v>183</v>
      </c>
      <c r="J24" s="12">
        <v>16.225496292114258</v>
      </c>
      <c r="K24" s="13" t="s">
        <v>7</v>
      </c>
      <c r="L24" s="14" t="s">
        <v>8</v>
      </c>
      <c r="M24" s="15" t="s">
        <v>10</v>
      </c>
      <c r="N24" s="15" t="s">
        <v>7</v>
      </c>
      <c r="O24" s="15" t="s">
        <v>7</v>
      </c>
      <c r="P24" s="16">
        <f t="shared" si="0"/>
        <v>3</v>
      </c>
      <c r="Q24" s="1">
        <v>1</v>
      </c>
      <c r="R24" s="16">
        <v>1</v>
      </c>
      <c r="S24" s="16">
        <v>1</v>
      </c>
      <c r="T24" s="16">
        <v>0</v>
      </c>
      <c r="U24" s="16" t="s">
        <v>8</v>
      </c>
      <c r="V24" s="16">
        <f t="shared" si="1"/>
        <v>3</v>
      </c>
      <c r="W24" s="1">
        <v>1</v>
      </c>
      <c r="X24" s="16">
        <v>1</v>
      </c>
      <c r="Y24" s="16">
        <v>1</v>
      </c>
      <c r="Z24" s="16">
        <v>0</v>
      </c>
      <c r="AA24" s="16" t="s">
        <v>289</v>
      </c>
      <c r="AB24" s="16" t="s">
        <v>184</v>
      </c>
      <c r="AC24" t="s">
        <v>222</v>
      </c>
      <c r="AD24" s="20" t="s">
        <v>308</v>
      </c>
      <c r="AE24" s="4">
        <v>611.14556163108705</v>
      </c>
    </row>
    <row r="25" spans="1:31" x14ac:dyDescent="0.2">
      <c r="A25" s="7" t="s">
        <v>32</v>
      </c>
      <c r="B25" s="7" t="s">
        <v>160</v>
      </c>
      <c r="C25" s="7" t="s">
        <v>164</v>
      </c>
      <c r="D25" s="7" t="s">
        <v>8</v>
      </c>
      <c r="E25" s="7" t="s">
        <v>10</v>
      </c>
      <c r="F25" s="7" t="s">
        <v>7</v>
      </c>
      <c r="G25" s="9">
        <v>25.2945652008057</v>
      </c>
      <c r="H25" s="10">
        <v>28.973796844482422</v>
      </c>
      <c r="I25" s="11" t="s">
        <v>183</v>
      </c>
      <c r="J25" s="12">
        <v>16.126977920532227</v>
      </c>
      <c r="K25" s="13" t="s">
        <v>7</v>
      </c>
      <c r="L25" s="26" t="s">
        <v>8</v>
      </c>
      <c r="M25" s="26" t="s">
        <v>10</v>
      </c>
      <c r="N25" s="26" t="s">
        <v>8</v>
      </c>
      <c r="O25" s="26" t="s">
        <v>10</v>
      </c>
      <c r="P25" s="16">
        <f t="shared" si="0"/>
        <v>0</v>
      </c>
      <c r="Q25" s="16">
        <v>0</v>
      </c>
      <c r="R25" s="16">
        <v>0</v>
      </c>
      <c r="S25" s="16">
        <v>0</v>
      </c>
      <c r="T25" s="16">
        <v>0</v>
      </c>
      <c r="U25" s="16" t="s">
        <v>10</v>
      </c>
      <c r="V25" s="16">
        <f t="shared" si="1"/>
        <v>0</v>
      </c>
      <c r="W25" s="16">
        <v>0</v>
      </c>
      <c r="X25" s="16">
        <v>0</v>
      </c>
      <c r="Y25" s="16">
        <v>0</v>
      </c>
      <c r="Z25" s="16">
        <v>0</v>
      </c>
      <c r="AA25" s="16" t="s">
        <v>10</v>
      </c>
      <c r="AB25" s="16" t="s">
        <v>10</v>
      </c>
      <c r="AD25" s="20" t="s">
        <v>317</v>
      </c>
      <c r="AE25" s="16" t="s">
        <v>10</v>
      </c>
    </row>
    <row r="26" spans="1:31" x14ac:dyDescent="0.2">
      <c r="A26" s="7" t="s">
        <v>33</v>
      </c>
      <c r="B26" s="7" t="s">
        <v>160</v>
      </c>
      <c r="C26" s="7" t="s">
        <v>164</v>
      </c>
      <c r="D26" s="7" t="s">
        <v>7</v>
      </c>
      <c r="E26" s="7" t="s">
        <v>7</v>
      </c>
      <c r="F26" s="7" t="s">
        <v>8</v>
      </c>
      <c r="G26" s="9">
        <v>34.246334075927734</v>
      </c>
      <c r="H26" s="10">
        <v>21.605278015136719</v>
      </c>
      <c r="I26" s="11" t="s">
        <v>184</v>
      </c>
      <c r="J26" s="12">
        <v>19.165725708007812</v>
      </c>
      <c r="K26" s="13" t="s">
        <v>7</v>
      </c>
      <c r="L26" s="14" t="s">
        <v>8</v>
      </c>
      <c r="M26" s="15" t="s">
        <v>10</v>
      </c>
      <c r="N26" s="15" t="s">
        <v>7</v>
      </c>
      <c r="O26" s="15" t="s">
        <v>7</v>
      </c>
      <c r="P26" s="16">
        <f t="shared" si="0"/>
        <v>3</v>
      </c>
      <c r="Q26" s="1">
        <v>1</v>
      </c>
      <c r="R26" s="16">
        <v>1</v>
      </c>
      <c r="S26" s="16">
        <v>1</v>
      </c>
      <c r="T26" s="16">
        <v>0</v>
      </c>
      <c r="U26" s="16" t="s">
        <v>8</v>
      </c>
      <c r="V26" s="16">
        <f t="shared" si="1"/>
        <v>3</v>
      </c>
      <c r="W26" s="1">
        <v>1</v>
      </c>
      <c r="X26" s="16">
        <v>1</v>
      </c>
      <c r="Y26" s="16">
        <v>1</v>
      </c>
      <c r="Z26" s="16">
        <v>0</v>
      </c>
      <c r="AA26" s="16" t="s">
        <v>289</v>
      </c>
      <c r="AB26" s="16" t="s">
        <v>184</v>
      </c>
      <c r="AC26" t="s">
        <v>227</v>
      </c>
      <c r="AD26" s="20" t="s">
        <v>311</v>
      </c>
      <c r="AE26" s="4">
        <v>553.01428172466399</v>
      </c>
    </row>
    <row r="27" spans="1:31" x14ac:dyDescent="0.2">
      <c r="A27" s="7" t="s">
        <v>34</v>
      </c>
      <c r="B27" s="7" t="s">
        <v>160</v>
      </c>
      <c r="C27" s="7" t="s">
        <v>164</v>
      </c>
      <c r="D27" s="7" t="s">
        <v>7</v>
      </c>
      <c r="E27" s="7" t="s">
        <v>8</v>
      </c>
      <c r="F27" s="7" t="s">
        <v>8</v>
      </c>
      <c r="G27" s="9">
        <v>12.740597724914551</v>
      </c>
      <c r="H27" s="10">
        <v>13.502950668334961</v>
      </c>
      <c r="I27" s="11" t="s">
        <v>183</v>
      </c>
      <c r="J27" s="12">
        <v>18.708316802978516</v>
      </c>
      <c r="K27" s="13" t="s">
        <v>8</v>
      </c>
      <c r="L27" s="14" t="s">
        <v>7</v>
      </c>
      <c r="M27" s="15" t="s">
        <v>7</v>
      </c>
      <c r="N27" s="15" t="s">
        <v>7</v>
      </c>
      <c r="O27" s="15" t="s">
        <v>7</v>
      </c>
      <c r="P27" s="16">
        <f t="shared" si="0"/>
        <v>4</v>
      </c>
      <c r="Q27" s="1">
        <v>1</v>
      </c>
      <c r="R27" s="16">
        <v>1</v>
      </c>
      <c r="S27" s="16">
        <v>1</v>
      </c>
      <c r="T27" s="1">
        <v>1</v>
      </c>
      <c r="U27" s="1" t="s">
        <v>8</v>
      </c>
      <c r="V27" s="16">
        <f t="shared" si="1"/>
        <v>4</v>
      </c>
      <c r="W27" s="1">
        <v>1</v>
      </c>
      <c r="X27" s="16">
        <v>1</v>
      </c>
      <c r="Y27" s="16">
        <v>1</v>
      </c>
      <c r="Z27" s="1">
        <v>1</v>
      </c>
      <c r="AA27" s="1" t="s">
        <v>289</v>
      </c>
      <c r="AB27" s="1" t="s">
        <v>183</v>
      </c>
      <c r="AC27" t="s">
        <v>225</v>
      </c>
      <c r="AD27" s="20" t="s">
        <v>319</v>
      </c>
      <c r="AE27" s="4">
        <v>45347.208278898303</v>
      </c>
    </row>
    <row r="28" spans="1:31" x14ac:dyDescent="0.2">
      <c r="A28" s="7" t="s">
        <v>35</v>
      </c>
      <c r="B28" s="7" t="s">
        <v>160</v>
      </c>
      <c r="C28" s="7" t="s">
        <v>164</v>
      </c>
      <c r="D28" s="7" t="s">
        <v>7</v>
      </c>
      <c r="E28" s="7" t="s">
        <v>7</v>
      </c>
      <c r="F28" s="7" t="s">
        <v>8</v>
      </c>
      <c r="G28" s="9">
        <v>22.138479232788086</v>
      </c>
      <c r="H28" s="10">
        <v>22.696832656860352</v>
      </c>
      <c r="I28" s="11" t="s">
        <v>183</v>
      </c>
      <c r="J28" s="12">
        <v>18.522771835327148</v>
      </c>
      <c r="K28" s="13" t="s">
        <v>7</v>
      </c>
      <c r="L28" s="14" t="s">
        <v>7</v>
      </c>
      <c r="M28" s="15" t="s">
        <v>7</v>
      </c>
      <c r="N28" s="15" t="s">
        <v>7</v>
      </c>
      <c r="O28" s="16" t="s">
        <v>8</v>
      </c>
      <c r="P28" s="16">
        <f t="shared" si="0"/>
        <v>4</v>
      </c>
      <c r="Q28" s="1">
        <v>1</v>
      </c>
      <c r="R28" s="16">
        <v>1</v>
      </c>
      <c r="S28" s="16">
        <v>1</v>
      </c>
      <c r="T28" s="1">
        <v>1</v>
      </c>
      <c r="U28" s="1" t="s">
        <v>8</v>
      </c>
      <c r="V28" s="16">
        <f t="shared" si="1"/>
        <v>4</v>
      </c>
      <c r="W28" s="1">
        <v>1</v>
      </c>
      <c r="X28" s="16">
        <v>1</v>
      </c>
      <c r="Y28" s="16">
        <v>1</v>
      </c>
      <c r="Z28" s="1">
        <v>1</v>
      </c>
      <c r="AA28" s="1" t="s">
        <v>289</v>
      </c>
      <c r="AB28" s="1" t="s">
        <v>183</v>
      </c>
      <c r="AC28" t="s">
        <v>226</v>
      </c>
      <c r="AD28" s="20" t="s">
        <v>314</v>
      </c>
      <c r="AE28" s="4">
        <v>59.718601769899102</v>
      </c>
    </row>
    <row r="29" spans="1:31" x14ac:dyDescent="0.2">
      <c r="A29" s="7" t="s">
        <v>36</v>
      </c>
      <c r="B29" s="7" t="s">
        <v>160</v>
      </c>
      <c r="C29" s="7" t="s">
        <v>164</v>
      </c>
      <c r="D29" s="7" t="s">
        <v>7</v>
      </c>
      <c r="E29" s="7" t="s">
        <v>7</v>
      </c>
      <c r="F29" s="7" t="s">
        <v>8</v>
      </c>
      <c r="G29" s="9">
        <v>11.117532730102539</v>
      </c>
      <c r="H29" s="29">
        <v>10.983000000000001</v>
      </c>
      <c r="I29" s="30" t="s">
        <v>183</v>
      </c>
      <c r="J29" s="12">
        <v>16.233196258544922</v>
      </c>
      <c r="K29" s="13" t="s">
        <v>7</v>
      </c>
      <c r="L29" s="14" t="s">
        <v>7</v>
      </c>
      <c r="M29" s="15" t="s">
        <v>7</v>
      </c>
      <c r="N29" s="15" t="s">
        <v>7</v>
      </c>
      <c r="O29" s="15" t="s">
        <v>7</v>
      </c>
      <c r="P29" s="16">
        <f t="shared" si="0"/>
        <v>4</v>
      </c>
      <c r="Q29" s="1">
        <v>1</v>
      </c>
      <c r="R29" s="1">
        <v>1</v>
      </c>
      <c r="S29" s="1">
        <v>1</v>
      </c>
      <c r="T29" s="1">
        <v>1</v>
      </c>
      <c r="U29" s="1" t="s">
        <v>8</v>
      </c>
      <c r="V29" s="16">
        <f t="shared" si="1"/>
        <v>5</v>
      </c>
      <c r="W29" s="1">
        <v>1</v>
      </c>
      <c r="X29" s="1">
        <v>1</v>
      </c>
      <c r="Y29" s="1">
        <v>2</v>
      </c>
      <c r="Z29" s="1">
        <v>1</v>
      </c>
      <c r="AA29" s="1" t="s">
        <v>288</v>
      </c>
      <c r="AB29" s="1" t="s">
        <v>183</v>
      </c>
      <c r="AC29" t="s">
        <v>224</v>
      </c>
      <c r="AD29" s="20" t="s">
        <v>310</v>
      </c>
      <c r="AE29" s="4">
        <v>49691.425954670798</v>
      </c>
    </row>
    <row r="30" spans="1:31" x14ac:dyDescent="0.2">
      <c r="A30" s="7" t="s">
        <v>37</v>
      </c>
      <c r="B30" s="7" t="s">
        <v>160</v>
      </c>
      <c r="C30" s="7" t="s">
        <v>164</v>
      </c>
      <c r="D30" s="7" t="s">
        <v>7</v>
      </c>
      <c r="E30" s="7" t="s">
        <v>7</v>
      </c>
      <c r="F30" s="7" t="s">
        <v>8</v>
      </c>
      <c r="G30" s="9">
        <v>30.454654693603516</v>
      </c>
      <c r="H30" s="29">
        <v>19.901</v>
      </c>
      <c r="I30" s="30" t="s">
        <v>184</v>
      </c>
      <c r="J30" s="12">
        <v>16.502288818359375</v>
      </c>
      <c r="K30" s="13" t="s">
        <v>7</v>
      </c>
      <c r="L30" s="14" t="s">
        <v>8</v>
      </c>
      <c r="M30" s="15" t="s">
        <v>10</v>
      </c>
      <c r="N30" s="15" t="s">
        <v>7</v>
      </c>
      <c r="O30" s="15" t="s">
        <v>7</v>
      </c>
      <c r="P30" s="16">
        <f t="shared" si="0"/>
        <v>3</v>
      </c>
      <c r="Q30" s="1">
        <v>1</v>
      </c>
      <c r="R30" s="1">
        <v>1</v>
      </c>
      <c r="S30" s="1">
        <v>1</v>
      </c>
      <c r="T30" s="1">
        <v>0</v>
      </c>
      <c r="U30" s="1" t="s">
        <v>8</v>
      </c>
      <c r="V30" s="16">
        <f t="shared" si="1"/>
        <v>3</v>
      </c>
      <c r="W30" s="1">
        <v>1</v>
      </c>
      <c r="X30" s="1">
        <v>1</v>
      </c>
      <c r="Y30" s="1">
        <v>1</v>
      </c>
      <c r="Z30" s="1">
        <v>0</v>
      </c>
      <c r="AA30" s="1" t="s">
        <v>289</v>
      </c>
      <c r="AB30" s="1" t="s">
        <v>184</v>
      </c>
      <c r="AC30" t="s">
        <v>223</v>
      </c>
      <c r="AD30" s="20" t="s">
        <v>307</v>
      </c>
      <c r="AE30" s="4">
        <v>467.88899409182</v>
      </c>
    </row>
    <row r="31" spans="1:31" x14ac:dyDescent="0.2">
      <c r="A31" s="7" t="s">
        <v>38</v>
      </c>
      <c r="B31" s="7" t="s">
        <v>160</v>
      </c>
      <c r="C31" s="7" t="s">
        <v>164</v>
      </c>
      <c r="D31" s="7" t="s">
        <v>8</v>
      </c>
      <c r="E31" s="7" t="s">
        <v>10</v>
      </c>
      <c r="F31" s="7" t="s">
        <v>7</v>
      </c>
      <c r="G31" s="9">
        <v>28.916074752807617</v>
      </c>
      <c r="H31" s="10">
        <v>28.541841506958008</v>
      </c>
      <c r="I31" s="11" t="s">
        <v>183</v>
      </c>
      <c r="J31" s="12">
        <v>15.714227676391602</v>
      </c>
      <c r="K31" s="13" t="s">
        <v>7</v>
      </c>
      <c r="L31" s="14" t="s">
        <v>8</v>
      </c>
      <c r="M31" s="15" t="s">
        <v>10</v>
      </c>
      <c r="N31" s="15" t="s">
        <v>8</v>
      </c>
      <c r="O31" s="15" t="s">
        <v>10</v>
      </c>
      <c r="P31" s="16">
        <f t="shared" si="0"/>
        <v>0</v>
      </c>
      <c r="Q31" s="16">
        <v>0</v>
      </c>
      <c r="R31" s="16">
        <v>0</v>
      </c>
      <c r="S31" s="16">
        <v>0</v>
      </c>
      <c r="T31" s="16">
        <v>0</v>
      </c>
      <c r="U31" s="16" t="s">
        <v>10</v>
      </c>
      <c r="V31" s="16">
        <f t="shared" si="1"/>
        <v>0</v>
      </c>
      <c r="W31" s="16">
        <v>0</v>
      </c>
      <c r="X31" s="16">
        <v>0</v>
      </c>
      <c r="Y31" s="16">
        <v>0</v>
      </c>
      <c r="Z31" s="16">
        <v>0</v>
      </c>
      <c r="AA31" s="16" t="s">
        <v>10</v>
      </c>
      <c r="AB31" s="16" t="s">
        <v>10</v>
      </c>
      <c r="AD31" s="20" t="s">
        <v>315</v>
      </c>
      <c r="AE31" s="16" t="s">
        <v>10</v>
      </c>
    </row>
    <row r="32" spans="1:31" x14ac:dyDescent="0.2">
      <c r="A32" s="7" t="s">
        <v>39</v>
      </c>
      <c r="B32" s="7" t="s">
        <v>160</v>
      </c>
      <c r="C32" s="7" t="s">
        <v>164</v>
      </c>
      <c r="D32" s="7" t="s">
        <v>7</v>
      </c>
      <c r="E32" s="7" t="s">
        <v>7</v>
      </c>
      <c r="F32" s="7" t="s">
        <v>8</v>
      </c>
      <c r="G32" s="9">
        <v>13.797126770019531</v>
      </c>
      <c r="H32" s="10">
        <v>13.869210243225098</v>
      </c>
      <c r="I32" s="11" t="s">
        <v>183</v>
      </c>
      <c r="J32" s="12">
        <v>18.178661346435547</v>
      </c>
      <c r="K32" s="13" t="s">
        <v>7</v>
      </c>
      <c r="L32" s="14" t="s">
        <v>7</v>
      </c>
      <c r="M32" s="15" t="s">
        <v>7</v>
      </c>
      <c r="N32" s="15" t="s">
        <v>7</v>
      </c>
      <c r="O32" s="15" t="s">
        <v>7</v>
      </c>
      <c r="P32" s="16">
        <f t="shared" si="0"/>
        <v>4</v>
      </c>
      <c r="Q32" s="1">
        <v>1</v>
      </c>
      <c r="R32" s="16">
        <v>1</v>
      </c>
      <c r="S32" s="16">
        <v>1</v>
      </c>
      <c r="T32" s="1">
        <v>1</v>
      </c>
      <c r="U32" s="1" t="s">
        <v>8</v>
      </c>
      <c r="V32" s="16">
        <f t="shared" si="1"/>
        <v>4</v>
      </c>
      <c r="W32" s="1">
        <v>1</v>
      </c>
      <c r="X32" s="16">
        <v>1</v>
      </c>
      <c r="Y32" s="16">
        <v>1</v>
      </c>
      <c r="Z32" s="1">
        <v>1</v>
      </c>
      <c r="AA32" s="1" t="s">
        <v>289</v>
      </c>
      <c r="AB32" s="1" t="s">
        <v>183</v>
      </c>
      <c r="AC32" t="s">
        <v>228</v>
      </c>
      <c r="AD32" s="20" t="s">
        <v>309</v>
      </c>
      <c r="AE32" s="4">
        <v>1277.2984846555401</v>
      </c>
    </row>
    <row r="33" spans="1:31" x14ac:dyDescent="0.2">
      <c r="A33" s="7" t="s">
        <v>40</v>
      </c>
      <c r="B33" s="7" t="s">
        <v>160</v>
      </c>
      <c r="C33" s="7" t="s">
        <v>164</v>
      </c>
      <c r="D33" s="7" t="s">
        <v>7</v>
      </c>
      <c r="E33" s="7" t="s">
        <v>7</v>
      </c>
      <c r="F33" s="7" t="s">
        <v>8</v>
      </c>
      <c r="G33" s="9">
        <v>24.920131683349609</v>
      </c>
      <c r="H33" s="10">
        <v>17.735584259033203</v>
      </c>
      <c r="I33" s="11" t="s">
        <v>183</v>
      </c>
      <c r="J33" s="12">
        <v>17.189058303833008</v>
      </c>
      <c r="K33" s="13" t="s">
        <v>7</v>
      </c>
      <c r="L33" s="14" t="s">
        <v>8</v>
      </c>
      <c r="M33" s="15" t="s">
        <v>10</v>
      </c>
      <c r="N33" s="15" t="s">
        <v>7</v>
      </c>
      <c r="O33" s="15" t="s">
        <v>7</v>
      </c>
      <c r="P33" s="16">
        <f t="shared" si="0"/>
        <v>4</v>
      </c>
      <c r="Q33" s="1">
        <v>1</v>
      </c>
      <c r="R33" s="16">
        <v>1</v>
      </c>
      <c r="S33" s="16">
        <v>2</v>
      </c>
      <c r="T33" s="16">
        <v>0</v>
      </c>
      <c r="U33" s="16" t="s">
        <v>7</v>
      </c>
      <c r="V33" s="16">
        <f t="shared" si="1"/>
        <v>4</v>
      </c>
      <c r="W33" s="1">
        <v>1</v>
      </c>
      <c r="X33" s="16">
        <v>1</v>
      </c>
      <c r="Y33" s="16">
        <v>2</v>
      </c>
      <c r="Z33" s="16">
        <v>0</v>
      </c>
      <c r="AA33" s="16" t="s">
        <v>288</v>
      </c>
      <c r="AB33" s="16" t="s">
        <v>184</v>
      </c>
      <c r="AC33" t="s">
        <v>230</v>
      </c>
      <c r="AD33" s="20" t="s">
        <v>325</v>
      </c>
      <c r="AE33" s="4">
        <v>1099.8946652331899</v>
      </c>
    </row>
    <row r="34" spans="1:31" x14ac:dyDescent="0.2">
      <c r="A34" s="7" t="s">
        <v>41</v>
      </c>
      <c r="B34" s="7" t="s">
        <v>160</v>
      </c>
      <c r="C34" s="7" t="s">
        <v>164</v>
      </c>
      <c r="D34" s="8" t="s">
        <v>7</v>
      </c>
      <c r="E34" s="8" t="s">
        <v>7</v>
      </c>
      <c r="F34" s="7" t="s">
        <v>8</v>
      </c>
      <c r="G34" s="9">
        <v>13.3319253921509</v>
      </c>
      <c r="H34" s="10">
        <v>13.447985649108887</v>
      </c>
      <c r="I34" s="11" t="s">
        <v>183</v>
      </c>
      <c r="J34" s="12">
        <v>17.126476287841797</v>
      </c>
      <c r="K34" s="13" t="s">
        <v>7</v>
      </c>
      <c r="L34" s="14" t="s">
        <v>7</v>
      </c>
      <c r="M34" s="15" t="s">
        <v>7</v>
      </c>
      <c r="N34" s="15" t="s">
        <v>7</v>
      </c>
      <c r="O34" s="15" t="s">
        <v>7</v>
      </c>
      <c r="P34" s="16">
        <f t="shared" ref="P34:P65" si="2">SUM(Q34:T34)</f>
        <v>4</v>
      </c>
      <c r="Q34" s="1">
        <v>1</v>
      </c>
      <c r="R34" s="16">
        <v>1</v>
      </c>
      <c r="S34" s="16">
        <v>1</v>
      </c>
      <c r="T34" s="1">
        <v>1</v>
      </c>
      <c r="U34" s="1" t="s">
        <v>8</v>
      </c>
      <c r="V34" s="16">
        <f t="shared" si="1"/>
        <v>4</v>
      </c>
      <c r="W34" s="1">
        <v>1</v>
      </c>
      <c r="X34" s="16">
        <v>1</v>
      </c>
      <c r="Y34" s="16">
        <v>1</v>
      </c>
      <c r="Z34" s="1">
        <v>1</v>
      </c>
      <c r="AA34" s="1" t="s">
        <v>289</v>
      </c>
      <c r="AB34" s="1" t="s">
        <v>183</v>
      </c>
      <c r="AC34" t="s">
        <v>231</v>
      </c>
      <c r="AD34" s="20" t="s">
        <v>323</v>
      </c>
      <c r="AE34" s="4">
        <v>2466.4420279086798</v>
      </c>
    </row>
    <row r="35" spans="1:31" x14ac:dyDescent="0.2">
      <c r="A35" s="7" t="s">
        <v>42</v>
      </c>
      <c r="B35" s="7" t="s">
        <v>160</v>
      </c>
      <c r="C35" s="7" t="s">
        <v>164</v>
      </c>
      <c r="D35" s="8" t="s">
        <v>7</v>
      </c>
      <c r="E35" s="8" t="s">
        <v>7</v>
      </c>
      <c r="F35" s="7" t="s">
        <v>8</v>
      </c>
      <c r="G35" s="9">
        <v>22.415836334228516</v>
      </c>
      <c r="H35" s="10">
        <v>21.7861328125</v>
      </c>
      <c r="I35" s="11" t="s">
        <v>183</v>
      </c>
      <c r="J35" s="12">
        <v>17.98884391784668</v>
      </c>
      <c r="K35" s="13" t="s">
        <v>7</v>
      </c>
      <c r="L35" s="14" t="s">
        <v>8</v>
      </c>
      <c r="M35" s="15" t="s">
        <v>10</v>
      </c>
      <c r="N35" s="15" t="s">
        <v>7</v>
      </c>
      <c r="O35" s="16" t="s">
        <v>8</v>
      </c>
      <c r="P35" s="16">
        <f t="shared" si="2"/>
        <v>1</v>
      </c>
      <c r="Q35" s="1">
        <v>0</v>
      </c>
      <c r="R35" s="16">
        <v>0</v>
      </c>
      <c r="S35" s="16">
        <v>1</v>
      </c>
      <c r="T35" s="1">
        <v>0</v>
      </c>
      <c r="U35" s="1" t="s">
        <v>8</v>
      </c>
      <c r="V35" s="16">
        <f t="shared" si="1"/>
        <v>4</v>
      </c>
      <c r="W35" s="1">
        <v>1</v>
      </c>
      <c r="X35" s="16">
        <v>2</v>
      </c>
      <c r="Y35" s="16">
        <v>1</v>
      </c>
      <c r="Z35" s="1">
        <v>0</v>
      </c>
      <c r="AA35" s="1" t="s">
        <v>288</v>
      </c>
      <c r="AB35" s="1" t="s">
        <v>184</v>
      </c>
      <c r="AC35" t="s">
        <v>232</v>
      </c>
      <c r="AD35" s="20" t="s">
        <v>333</v>
      </c>
      <c r="AE35" s="4">
        <v>47.138110718614499</v>
      </c>
    </row>
    <row r="36" spans="1:31" x14ac:dyDescent="0.2">
      <c r="A36" s="7" t="s">
        <v>43</v>
      </c>
      <c r="B36" s="7" t="s">
        <v>160</v>
      </c>
      <c r="C36" s="7" t="s">
        <v>164</v>
      </c>
      <c r="D36" s="7" t="s">
        <v>7</v>
      </c>
      <c r="E36" s="7" t="s">
        <v>7</v>
      </c>
      <c r="F36" s="7" t="s">
        <v>8</v>
      </c>
      <c r="G36" s="9">
        <v>29.387308120727539</v>
      </c>
      <c r="H36" s="10">
        <v>17.949148178100586</v>
      </c>
      <c r="I36" s="11" t="s">
        <v>183</v>
      </c>
      <c r="J36" s="12">
        <v>17.476043701171875</v>
      </c>
      <c r="K36" s="13" t="s">
        <v>7</v>
      </c>
      <c r="L36" s="14" t="s">
        <v>8</v>
      </c>
      <c r="M36" s="15" t="s">
        <v>10</v>
      </c>
      <c r="N36" s="15" t="s">
        <v>7</v>
      </c>
      <c r="O36" s="15" t="s">
        <v>7</v>
      </c>
      <c r="P36" s="16">
        <f t="shared" si="2"/>
        <v>3</v>
      </c>
      <c r="Q36" s="1">
        <v>1</v>
      </c>
      <c r="R36" s="1">
        <v>1</v>
      </c>
      <c r="S36" s="1">
        <v>1</v>
      </c>
      <c r="T36" s="1">
        <v>0</v>
      </c>
      <c r="U36" s="1" t="s">
        <v>8</v>
      </c>
      <c r="V36" s="16">
        <f t="shared" si="1"/>
        <v>3</v>
      </c>
      <c r="W36" s="1">
        <v>1</v>
      </c>
      <c r="X36" s="1">
        <v>1</v>
      </c>
      <c r="Y36" s="1">
        <v>1</v>
      </c>
      <c r="Z36" s="1">
        <v>0</v>
      </c>
      <c r="AA36" s="1" t="s">
        <v>289</v>
      </c>
      <c r="AB36" s="1" t="s">
        <v>184</v>
      </c>
      <c r="AC36" t="s">
        <v>229</v>
      </c>
      <c r="AD36" s="20" t="s">
        <v>335</v>
      </c>
      <c r="AE36" s="5">
        <v>529.82333577378995</v>
      </c>
    </row>
    <row r="37" spans="1:31" x14ac:dyDescent="0.2">
      <c r="A37" s="7" t="s">
        <v>44</v>
      </c>
      <c r="B37" s="7" t="s">
        <v>160</v>
      </c>
      <c r="C37" s="7" t="s">
        <v>164</v>
      </c>
      <c r="D37" s="7" t="s">
        <v>7</v>
      </c>
      <c r="E37" s="7" t="s">
        <v>7</v>
      </c>
      <c r="F37" s="7" t="s">
        <v>8</v>
      </c>
      <c r="G37" s="9">
        <v>12.878376007080078</v>
      </c>
      <c r="H37" s="10">
        <v>12.723613739013672</v>
      </c>
      <c r="I37" s="11" t="s">
        <v>183</v>
      </c>
      <c r="J37" s="12">
        <v>16.557781219482422</v>
      </c>
      <c r="K37" s="13" t="s">
        <v>7</v>
      </c>
      <c r="L37" s="14" t="s">
        <v>8</v>
      </c>
      <c r="M37" s="15" t="s">
        <v>10</v>
      </c>
      <c r="N37" s="15" t="s">
        <v>7</v>
      </c>
      <c r="O37" s="15" t="s">
        <v>7</v>
      </c>
      <c r="P37" s="16">
        <f t="shared" si="2"/>
        <v>3</v>
      </c>
      <c r="Q37" s="1">
        <v>1</v>
      </c>
      <c r="R37" s="1">
        <v>1</v>
      </c>
      <c r="S37" s="1">
        <v>1</v>
      </c>
      <c r="T37" s="1">
        <v>0</v>
      </c>
      <c r="U37" s="1" t="s">
        <v>8</v>
      </c>
      <c r="V37" s="16">
        <f t="shared" si="1"/>
        <v>3</v>
      </c>
      <c r="W37" s="1">
        <v>1</v>
      </c>
      <c r="X37" s="1">
        <v>1</v>
      </c>
      <c r="Y37" s="1">
        <v>1</v>
      </c>
      <c r="Z37" s="1">
        <v>0</v>
      </c>
      <c r="AA37" s="1" t="s">
        <v>289</v>
      </c>
      <c r="AB37" s="1" t="s">
        <v>183</v>
      </c>
      <c r="AC37" t="s">
        <v>233</v>
      </c>
      <c r="AD37" s="20" t="s">
        <v>342</v>
      </c>
      <c r="AE37" s="4">
        <v>2475.2437929434</v>
      </c>
    </row>
    <row r="38" spans="1:31" x14ac:dyDescent="0.2">
      <c r="A38" s="7" t="s">
        <v>45</v>
      </c>
      <c r="B38" s="7" t="s">
        <v>160</v>
      </c>
      <c r="C38" s="7" t="s">
        <v>164</v>
      </c>
      <c r="D38" s="7" t="s">
        <v>7</v>
      </c>
      <c r="E38" s="7" t="s">
        <v>8</v>
      </c>
      <c r="F38" s="7" t="s">
        <v>7</v>
      </c>
      <c r="G38" s="9">
        <v>26.578512191772461</v>
      </c>
      <c r="H38" s="10">
        <v>25.63170051574707</v>
      </c>
      <c r="I38" s="11" t="s">
        <v>183</v>
      </c>
      <c r="J38" s="12">
        <v>19.558780670166016</v>
      </c>
      <c r="K38" s="13" t="s">
        <v>7</v>
      </c>
      <c r="L38" s="14" t="s">
        <v>8</v>
      </c>
      <c r="M38" s="15" t="s">
        <v>10</v>
      </c>
      <c r="N38" s="15" t="s">
        <v>7</v>
      </c>
      <c r="O38" s="15" t="s">
        <v>8</v>
      </c>
      <c r="P38" s="16">
        <f t="shared" si="2"/>
        <v>0</v>
      </c>
      <c r="Q38" s="16">
        <v>0</v>
      </c>
      <c r="R38" s="16">
        <v>0</v>
      </c>
      <c r="S38" s="16">
        <v>0</v>
      </c>
      <c r="T38" s="16">
        <v>0</v>
      </c>
      <c r="U38" s="16" t="s">
        <v>10</v>
      </c>
      <c r="V38" s="16">
        <f t="shared" si="1"/>
        <v>0</v>
      </c>
      <c r="W38" s="1">
        <v>0</v>
      </c>
      <c r="X38" s="1">
        <v>0</v>
      </c>
      <c r="Y38" s="1">
        <v>0</v>
      </c>
      <c r="Z38" s="1">
        <v>0</v>
      </c>
      <c r="AA38" s="1" t="s">
        <v>10</v>
      </c>
      <c r="AB38" s="1" t="s">
        <v>10</v>
      </c>
      <c r="AD38" s="20" t="s">
        <v>343</v>
      </c>
      <c r="AE38" s="1" t="s">
        <v>10</v>
      </c>
    </row>
    <row r="39" spans="1:31" x14ac:dyDescent="0.2">
      <c r="A39" s="7" t="s">
        <v>46</v>
      </c>
      <c r="B39" s="7" t="s">
        <v>160</v>
      </c>
      <c r="C39" s="7" t="s">
        <v>164</v>
      </c>
      <c r="D39" s="8" t="s">
        <v>7</v>
      </c>
      <c r="E39" s="8" t="s">
        <v>7</v>
      </c>
      <c r="F39" s="7" t="s">
        <v>8</v>
      </c>
      <c r="G39" s="9">
        <v>14.616909980773926</v>
      </c>
      <c r="H39" s="10">
        <v>15.964468955993652</v>
      </c>
      <c r="I39" s="11" t="s">
        <v>183</v>
      </c>
      <c r="J39" s="12">
        <v>18.368270874023438</v>
      </c>
      <c r="K39" s="13" t="s">
        <v>7</v>
      </c>
      <c r="L39" s="14" t="s">
        <v>7</v>
      </c>
      <c r="M39" s="15" t="s">
        <v>7</v>
      </c>
      <c r="N39" s="15" t="s">
        <v>7</v>
      </c>
      <c r="O39" s="15" t="s">
        <v>7</v>
      </c>
      <c r="P39" s="16">
        <f t="shared" si="2"/>
        <v>4</v>
      </c>
      <c r="Q39" s="1">
        <v>1</v>
      </c>
      <c r="R39" s="16">
        <v>1</v>
      </c>
      <c r="S39" s="16">
        <v>1</v>
      </c>
      <c r="T39" s="1">
        <v>1</v>
      </c>
      <c r="U39" s="1" t="s">
        <v>8</v>
      </c>
      <c r="V39" s="16">
        <f t="shared" si="1"/>
        <v>4</v>
      </c>
      <c r="W39" s="1">
        <v>1</v>
      </c>
      <c r="X39" s="16">
        <v>1</v>
      </c>
      <c r="Y39" s="16">
        <v>1</v>
      </c>
      <c r="Z39" s="1">
        <v>1</v>
      </c>
      <c r="AA39" s="1" t="s">
        <v>289</v>
      </c>
      <c r="AB39" s="1" t="s">
        <v>183</v>
      </c>
      <c r="AC39" t="s">
        <v>234</v>
      </c>
      <c r="AD39" s="20" t="s">
        <v>345</v>
      </c>
      <c r="AE39" s="4">
        <v>19814.0067656908</v>
      </c>
    </row>
    <row r="40" spans="1:31" x14ac:dyDescent="0.2">
      <c r="A40" s="7" t="s">
        <v>47</v>
      </c>
      <c r="B40" s="7" t="s">
        <v>160</v>
      </c>
      <c r="C40" s="7" t="s">
        <v>164</v>
      </c>
      <c r="D40" s="8" t="s">
        <v>7</v>
      </c>
      <c r="E40" s="8" t="s">
        <v>7</v>
      </c>
      <c r="F40" s="7" t="s">
        <v>8</v>
      </c>
      <c r="G40" s="9">
        <v>23.38890266418457</v>
      </c>
      <c r="H40" s="10">
        <v>24.107908248901367</v>
      </c>
      <c r="I40" s="11" t="s">
        <v>183</v>
      </c>
      <c r="J40" s="12">
        <v>19.61778450012207</v>
      </c>
      <c r="K40" s="13" t="s">
        <v>7</v>
      </c>
      <c r="L40" s="16" t="s">
        <v>8</v>
      </c>
      <c r="M40" s="16" t="s">
        <v>8</v>
      </c>
      <c r="N40" s="16" t="s">
        <v>7</v>
      </c>
      <c r="O40" s="16" t="s">
        <v>8</v>
      </c>
      <c r="P40" s="16">
        <f t="shared" si="2"/>
        <v>0</v>
      </c>
      <c r="Q40" s="16">
        <v>0</v>
      </c>
      <c r="R40" s="16">
        <v>0</v>
      </c>
      <c r="S40" s="16">
        <v>0</v>
      </c>
      <c r="T40" s="16">
        <v>0</v>
      </c>
      <c r="U40" s="16" t="s">
        <v>10</v>
      </c>
      <c r="V40" s="16">
        <f t="shared" si="1"/>
        <v>0</v>
      </c>
      <c r="W40" s="16">
        <v>0</v>
      </c>
      <c r="X40" s="16">
        <v>0</v>
      </c>
      <c r="Y40" s="16">
        <v>0</v>
      </c>
      <c r="Z40" s="16">
        <v>0</v>
      </c>
      <c r="AA40" s="16" t="s">
        <v>289</v>
      </c>
      <c r="AB40" s="16" t="s">
        <v>10</v>
      </c>
      <c r="AD40" s="20" t="s">
        <v>322</v>
      </c>
      <c r="AE40" s="4">
        <v>5.23547900385232</v>
      </c>
    </row>
    <row r="41" spans="1:31" x14ac:dyDescent="0.2">
      <c r="A41" s="7" t="s">
        <v>48</v>
      </c>
      <c r="B41" s="7" t="s">
        <v>160</v>
      </c>
      <c r="C41" s="7" t="s">
        <v>164</v>
      </c>
      <c r="D41" s="8" t="s">
        <v>7</v>
      </c>
      <c r="E41" s="8" t="s">
        <v>7</v>
      </c>
      <c r="F41" s="7" t="s">
        <v>8</v>
      </c>
      <c r="G41" s="9">
        <v>12.851833343505859</v>
      </c>
      <c r="H41" s="10">
        <v>13.335805892944336</v>
      </c>
      <c r="I41" s="11" t="s">
        <v>183</v>
      </c>
      <c r="J41" s="12">
        <v>14.453315734863281</v>
      </c>
      <c r="K41" s="13" t="s">
        <v>7</v>
      </c>
      <c r="L41" s="14" t="s">
        <v>7</v>
      </c>
      <c r="M41" s="15" t="s">
        <v>7</v>
      </c>
      <c r="N41" s="15" t="s">
        <v>7</v>
      </c>
      <c r="O41" s="15" t="s">
        <v>7</v>
      </c>
      <c r="P41" s="16">
        <f t="shared" si="2"/>
        <v>4</v>
      </c>
      <c r="Q41" s="1">
        <v>1</v>
      </c>
      <c r="R41" s="1">
        <v>1</v>
      </c>
      <c r="S41" s="1">
        <v>1</v>
      </c>
      <c r="T41" s="1">
        <v>1</v>
      </c>
      <c r="U41" s="1" t="s">
        <v>8</v>
      </c>
      <c r="V41" s="16">
        <f t="shared" si="1"/>
        <v>4</v>
      </c>
      <c r="W41" s="1">
        <v>1</v>
      </c>
      <c r="X41" s="1">
        <v>1</v>
      </c>
      <c r="Y41" s="1">
        <v>1</v>
      </c>
      <c r="Z41" s="1">
        <v>1</v>
      </c>
      <c r="AA41" s="1" t="s">
        <v>289</v>
      </c>
      <c r="AB41" s="1" t="s">
        <v>183</v>
      </c>
      <c r="AC41" t="s">
        <v>190</v>
      </c>
      <c r="AD41" s="20" t="s">
        <v>339</v>
      </c>
      <c r="AE41" s="4">
        <v>1246.09354543529</v>
      </c>
    </row>
    <row r="42" spans="1:31" x14ac:dyDescent="0.2">
      <c r="A42" s="7" t="s">
        <v>49</v>
      </c>
      <c r="B42" s="7" t="s">
        <v>160</v>
      </c>
      <c r="C42" s="7" t="s">
        <v>164</v>
      </c>
      <c r="D42" s="8" t="s">
        <v>8</v>
      </c>
      <c r="E42" s="8" t="s">
        <v>10</v>
      </c>
      <c r="F42" s="7" t="s">
        <v>7</v>
      </c>
      <c r="G42" s="9">
        <v>26.19007682800293</v>
      </c>
      <c r="H42" s="10">
        <v>26.713638305664062</v>
      </c>
      <c r="I42" s="11" t="s">
        <v>183</v>
      </c>
      <c r="J42" s="12">
        <v>15.122735977172852</v>
      </c>
      <c r="K42" s="13" t="s">
        <v>7</v>
      </c>
      <c r="L42" s="14" t="s">
        <v>8</v>
      </c>
      <c r="M42" s="15" t="s">
        <v>10</v>
      </c>
      <c r="N42" s="15" t="s">
        <v>8</v>
      </c>
      <c r="O42" s="15" t="s">
        <v>10</v>
      </c>
      <c r="P42" s="16">
        <f t="shared" si="2"/>
        <v>0</v>
      </c>
      <c r="Q42" s="16">
        <v>0</v>
      </c>
      <c r="R42" s="16">
        <v>0</v>
      </c>
      <c r="S42" s="16">
        <v>0</v>
      </c>
      <c r="T42" s="16">
        <v>0</v>
      </c>
      <c r="U42" s="16" t="s">
        <v>10</v>
      </c>
      <c r="V42" s="16">
        <f t="shared" si="1"/>
        <v>0</v>
      </c>
      <c r="W42" s="16">
        <v>0</v>
      </c>
      <c r="X42" s="16">
        <v>0</v>
      </c>
      <c r="Y42" s="16">
        <v>0</v>
      </c>
      <c r="Z42" s="16">
        <v>0</v>
      </c>
      <c r="AA42" s="16" t="s">
        <v>10</v>
      </c>
      <c r="AB42" s="16" t="s">
        <v>10</v>
      </c>
      <c r="AD42" s="20" t="s">
        <v>334</v>
      </c>
      <c r="AE42" s="16" t="s">
        <v>10</v>
      </c>
    </row>
    <row r="43" spans="1:31" x14ac:dyDescent="0.2">
      <c r="A43" s="7" t="s">
        <v>50</v>
      </c>
      <c r="B43" s="7" t="s">
        <v>160</v>
      </c>
      <c r="C43" s="7" t="s">
        <v>164</v>
      </c>
      <c r="D43" s="8" t="s">
        <v>7</v>
      </c>
      <c r="E43" s="8" t="s">
        <v>7</v>
      </c>
      <c r="F43" s="7" t="s">
        <v>8</v>
      </c>
      <c r="G43" s="9">
        <v>33.213000000000001</v>
      </c>
      <c r="H43" s="10">
        <v>18.279935836791992</v>
      </c>
      <c r="I43" s="11" t="s">
        <v>184</v>
      </c>
      <c r="J43" s="12">
        <v>16.669673919677734</v>
      </c>
      <c r="K43" s="13" t="s">
        <v>7</v>
      </c>
      <c r="L43" s="14" t="s">
        <v>8</v>
      </c>
      <c r="M43" s="15" t="s">
        <v>10</v>
      </c>
      <c r="N43" s="15" t="s">
        <v>7</v>
      </c>
      <c r="O43" s="15" t="s">
        <v>7</v>
      </c>
      <c r="P43" s="16">
        <f t="shared" si="2"/>
        <v>4</v>
      </c>
      <c r="Q43" s="15">
        <v>1</v>
      </c>
      <c r="R43" s="16">
        <v>2</v>
      </c>
      <c r="S43" s="16">
        <v>1</v>
      </c>
      <c r="T43" s="16">
        <v>0</v>
      </c>
      <c r="U43" s="16" t="s">
        <v>7</v>
      </c>
      <c r="V43" s="16">
        <f t="shared" si="1"/>
        <v>4</v>
      </c>
      <c r="W43" s="16">
        <v>1</v>
      </c>
      <c r="X43" s="16">
        <v>2</v>
      </c>
      <c r="Y43" s="16">
        <v>1</v>
      </c>
      <c r="Z43" s="16">
        <v>0</v>
      </c>
      <c r="AA43" s="16" t="s">
        <v>288</v>
      </c>
      <c r="AB43" s="16" t="s">
        <v>184</v>
      </c>
      <c r="AC43" t="s">
        <v>191</v>
      </c>
      <c r="AD43" s="20" t="s">
        <v>341</v>
      </c>
      <c r="AE43" s="4">
        <v>135.917708966866</v>
      </c>
    </row>
    <row r="44" spans="1:31" x14ac:dyDescent="0.2">
      <c r="A44" s="7" t="s">
        <v>51</v>
      </c>
      <c r="B44" s="7" t="s">
        <v>160</v>
      </c>
      <c r="C44" s="7" t="s">
        <v>164</v>
      </c>
      <c r="D44" s="8" t="s">
        <v>7</v>
      </c>
      <c r="E44" s="8" t="s">
        <v>7</v>
      </c>
      <c r="F44" s="7" t="s">
        <v>8</v>
      </c>
      <c r="G44" s="9">
        <v>9.6743440628051758</v>
      </c>
      <c r="H44" s="10">
        <v>9.5784788131713867</v>
      </c>
      <c r="I44" s="11" t="s">
        <v>183</v>
      </c>
      <c r="J44" s="12">
        <v>15.016074180603027</v>
      </c>
      <c r="K44" s="13" t="s">
        <v>7</v>
      </c>
      <c r="L44" s="14" t="s">
        <v>7</v>
      </c>
      <c r="M44" s="15" t="s">
        <v>7</v>
      </c>
      <c r="N44" s="15" t="s">
        <v>7</v>
      </c>
      <c r="O44" s="16" t="s">
        <v>8</v>
      </c>
      <c r="P44" s="16">
        <f t="shared" si="2"/>
        <v>5</v>
      </c>
      <c r="Q44" s="1">
        <v>1</v>
      </c>
      <c r="R44" s="16">
        <v>1</v>
      </c>
      <c r="S44" s="1">
        <v>2</v>
      </c>
      <c r="T44" s="1">
        <v>1</v>
      </c>
      <c r="U44" s="1" t="s">
        <v>7</v>
      </c>
      <c r="V44" s="16">
        <f t="shared" si="1"/>
        <v>5</v>
      </c>
      <c r="W44" s="16">
        <v>1</v>
      </c>
      <c r="X44" s="16">
        <v>1</v>
      </c>
      <c r="Y44" s="16">
        <v>2</v>
      </c>
      <c r="Z44" s="16">
        <v>1</v>
      </c>
      <c r="AA44" s="16" t="s">
        <v>288</v>
      </c>
      <c r="AB44" s="16" t="s">
        <v>183</v>
      </c>
      <c r="AC44" t="s">
        <v>192</v>
      </c>
      <c r="AD44" s="20" t="s">
        <v>338</v>
      </c>
      <c r="AE44" s="4">
        <v>47796.272230315997</v>
      </c>
    </row>
    <row r="45" spans="1:31" x14ac:dyDescent="0.2">
      <c r="A45" s="7" t="s">
        <v>52</v>
      </c>
      <c r="B45" s="7" t="s">
        <v>160</v>
      </c>
      <c r="C45" s="7" t="s">
        <v>164</v>
      </c>
      <c r="D45" s="8" t="s">
        <v>7</v>
      </c>
      <c r="E45" s="8" t="s">
        <v>8</v>
      </c>
      <c r="F45" s="7" t="s">
        <v>7</v>
      </c>
      <c r="G45" s="9">
        <v>24.750720977783203</v>
      </c>
      <c r="H45" s="10">
        <v>24.557769775390625</v>
      </c>
      <c r="I45" s="11" t="s">
        <v>183</v>
      </c>
      <c r="J45" s="12">
        <v>15.43173885345459</v>
      </c>
      <c r="K45" s="13" t="s">
        <v>7</v>
      </c>
      <c r="L45" s="14" t="s">
        <v>8</v>
      </c>
      <c r="M45" s="15" t="s">
        <v>10</v>
      </c>
      <c r="N45" s="15" t="s">
        <v>7</v>
      </c>
      <c r="O45" s="15" t="s">
        <v>8</v>
      </c>
      <c r="P45" s="16">
        <f t="shared" si="2"/>
        <v>0</v>
      </c>
      <c r="Q45" s="16">
        <v>0</v>
      </c>
      <c r="R45" s="16">
        <v>0</v>
      </c>
      <c r="S45" s="16">
        <v>0</v>
      </c>
      <c r="T45" s="16">
        <v>0</v>
      </c>
      <c r="U45" s="16" t="s">
        <v>10</v>
      </c>
      <c r="V45" s="16">
        <f t="shared" si="1"/>
        <v>0</v>
      </c>
      <c r="W45" s="16">
        <v>0</v>
      </c>
      <c r="X45" s="16">
        <v>0</v>
      </c>
      <c r="Y45" s="16">
        <v>0</v>
      </c>
      <c r="Z45" s="16">
        <v>0</v>
      </c>
      <c r="AA45" s="16" t="s">
        <v>289</v>
      </c>
      <c r="AB45" s="16" t="s">
        <v>10</v>
      </c>
      <c r="AD45" s="20" t="s">
        <v>337</v>
      </c>
      <c r="AE45" s="4">
        <v>0.91444644784420304</v>
      </c>
    </row>
    <row r="46" spans="1:31" x14ac:dyDescent="0.2">
      <c r="A46" s="6" t="s">
        <v>53</v>
      </c>
      <c r="B46" s="7" t="s">
        <v>160</v>
      </c>
      <c r="C46" s="7" t="s">
        <v>164</v>
      </c>
      <c r="D46" s="8" t="s">
        <v>7</v>
      </c>
      <c r="E46" s="8" t="s">
        <v>7</v>
      </c>
      <c r="F46" s="7" t="s">
        <v>8</v>
      </c>
      <c r="G46" s="9">
        <v>12.921422958374023</v>
      </c>
      <c r="H46" s="27">
        <v>13.581</v>
      </c>
      <c r="I46" s="28" t="s">
        <v>183</v>
      </c>
      <c r="J46" s="31">
        <v>16.399000000000001</v>
      </c>
      <c r="K46" s="13" t="s">
        <v>7</v>
      </c>
      <c r="L46" s="14" t="s">
        <v>8</v>
      </c>
      <c r="M46" s="15" t="s">
        <v>10</v>
      </c>
      <c r="N46" s="15" t="s">
        <v>7</v>
      </c>
      <c r="O46" s="15" t="s">
        <v>7</v>
      </c>
      <c r="P46" s="16">
        <f t="shared" si="2"/>
        <v>3</v>
      </c>
      <c r="Q46" s="1">
        <v>1</v>
      </c>
      <c r="R46" s="16">
        <v>1</v>
      </c>
      <c r="S46" s="16">
        <v>1</v>
      </c>
      <c r="T46" s="16">
        <v>0</v>
      </c>
      <c r="U46" s="16" t="s">
        <v>8</v>
      </c>
      <c r="V46" s="16">
        <f t="shared" si="1"/>
        <v>3</v>
      </c>
      <c r="W46" s="1">
        <v>1</v>
      </c>
      <c r="X46" s="16">
        <v>1</v>
      </c>
      <c r="Y46" s="16">
        <v>1</v>
      </c>
      <c r="Z46" s="16">
        <v>0</v>
      </c>
      <c r="AA46" s="16" t="s">
        <v>289</v>
      </c>
      <c r="AB46" s="16" t="s">
        <v>183</v>
      </c>
      <c r="AC46" t="s">
        <v>193</v>
      </c>
      <c r="AD46" s="20" t="s">
        <v>336</v>
      </c>
      <c r="AE46" s="4">
        <v>1203.0636708979901</v>
      </c>
    </row>
    <row r="47" spans="1:31" x14ac:dyDescent="0.2">
      <c r="A47" s="6" t="s">
        <v>54</v>
      </c>
      <c r="B47" s="7" t="s">
        <v>160</v>
      </c>
      <c r="C47" s="7" t="s">
        <v>164</v>
      </c>
      <c r="D47" s="8" t="s">
        <v>7</v>
      </c>
      <c r="E47" s="8" t="s">
        <v>8</v>
      </c>
      <c r="F47" s="7" t="s">
        <v>7</v>
      </c>
      <c r="G47" s="9">
        <v>25.160028457641602</v>
      </c>
      <c r="H47" s="27">
        <v>25.715</v>
      </c>
      <c r="I47" s="28" t="s">
        <v>183</v>
      </c>
      <c r="J47" s="31">
        <v>17.399999999999999</v>
      </c>
      <c r="K47" s="13" t="s">
        <v>7</v>
      </c>
      <c r="L47" s="14" t="s">
        <v>8</v>
      </c>
      <c r="M47" s="15" t="s">
        <v>10</v>
      </c>
      <c r="N47" s="15" t="s">
        <v>7</v>
      </c>
      <c r="O47" s="15" t="s">
        <v>8</v>
      </c>
      <c r="P47" s="16">
        <f t="shared" si="2"/>
        <v>0</v>
      </c>
      <c r="Q47" s="16">
        <v>0</v>
      </c>
      <c r="R47" s="16">
        <v>0</v>
      </c>
      <c r="S47" s="16">
        <v>0</v>
      </c>
      <c r="T47" s="16">
        <v>0</v>
      </c>
      <c r="U47" s="16" t="s">
        <v>10</v>
      </c>
      <c r="V47" s="16">
        <f t="shared" si="1"/>
        <v>0</v>
      </c>
      <c r="W47" s="1">
        <v>0</v>
      </c>
      <c r="X47" s="16">
        <v>0</v>
      </c>
      <c r="Y47" s="16">
        <v>0</v>
      </c>
      <c r="Z47" s="16">
        <v>0</v>
      </c>
      <c r="AA47" s="16" t="s">
        <v>289</v>
      </c>
      <c r="AB47" s="16" t="s">
        <v>10</v>
      </c>
      <c r="AD47" s="20" t="s">
        <v>344</v>
      </c>
      <c r="AE47" s="4">
        <v>1.09796300413657</v>
      </c>
    </row>
    <row r="48" spans="1:31" x14ac:dyDescent="0.2">
      <c r="A48" s="7" t="s">
        <v>55</v>
      </c>
      <c r="B48" s="7" t="s">
        <v>160</v>
      </c>
      <c r="C48" s="7" t="s">
        <v>164</v>
      </c>
      <c r="D48" s="8" t="s">
        <v>7</v>
      </c>
      <c r="E48" s="8" t="s">
        <v>7</v>
      </c>
      <c r="F48" s="7" t="s">
        <v>8</v>
      </c>
      <c r="G48" s="9">
        <v>30.317989349365234</v>
      </c>
      <c r="H48" s="10">
        <v>17.667194366455078</v>
      </c>
      <c r="I48" s="11" t="s">
        <v>184</v>
      </c>
      <c r="J48" s="12">
        <v>14.143238067626953</v>
      </c>
      <c r="K48" s="13" t="s">
        <v>7</v>
      </c>
      <c r="L48" s="14" t="s">
        <v>8</v>
      </c>
      <c r="M48" s="15" t="s">
        <v>10</v>
      </c>
      <c r="N48" s="15" t="s">
        <v>7</v>
      </c>
      <c r="O48" s="15" t="s">
        <v>7</v>
      </c>
      <c r="P48" s="16">
        <f t="shared" si="2"/>
        <v>3</v>
      </c>
      <c r="Q48" s="1">
        <v>1</v>
      </c>
      <c r="R48" s="16">
        <v>1</v>
      </c>
      <c r="S48" s="16">
        <v>1</v>
      </c>
      <c r="T48" s="16">
        <v>0</v>
      </c>
      <c r="U48" s="16" t="s">
        <v>8</v>
      </c>
      <c r="V48" s="16">
        <f t="shared" si="1"/>
        <v>4</v>
      </c>
      <c r="W48" s="1">
        <v>1</v>
      </c>
      <c r="X48" s="16">
        <v>2</v>
      </c>
      <c r="Y48" s="16">
        <v>1</v>
      </c>
      <c r="Z48" s="16">
        <v>0</v>
      </c>
      <c r="AA48" s="16" t="s">
        <v>288</v>
      </c>
      <c r="AB48" s="16" t="s">
        <v>184</v>
      </c>
      <c r="AC48" t="s">
        <v>194</v>
      </c>
      <c r="AD48" s="20" t="s">
        <v>324</v>
      </c>
      <c r="AE48" s="4">
        <v>603.20893275384003</v>
      </c>
    </row>
    <row r="49" spans="1:31" x14ac:dyDescent="0.2">
      <c r="A49" s="7" t="s">
        <v>56</v>
      </c>
      <c r="B49" s="7" t="s">
        <v>160</v>
      </c>
      <c r="C49" s="7" t="s">
        <v>164</v>
      </c>
      <c r="D49" s="8" t="s">
        <v>7</v>
      </c>
      <c r="E49" s="8" t="s">
        <v>7</v>
      </c>
      <c r="F49" s="7" t="s">
        <v>8</v>
      </c>
      <c r="G49" s="9">
        <v>13.2449789047241</v>
      </c>
      <c r="H49" s="10">
        <v>12.302685737609863</v>
      </c>
      <c r="I49" s="11" t="s">
        <v>183</v>
      </c>
      <c r="J49" s="12">
        <v>14.374777793884277</v>
      </c>
      <c r="K49" s="13" t="s">
        <v>7</v>
      </c>
      <c r="L49" s="14" t="s">
        <v>7</v>
      </c>
      <c r="M49" s="15" t="s">
        <v>7</v>
      </c>
      <c r="N49" s="15" t="s">
        <v>7</v>
      </c>
      <c r="O49" s="15" t="s">
        <v>7</v>
      </c>
      <c r="P49" s="16">
        <f t="shared" si="2"/>
        <v>4</v>
      </c>
      <c r="Q49" s="1">
        <v>1</v>
      </c>
      <c r="R49" s="16">
        <v>1</v>
      </c>
      <c r="S49" s="16">
        <v>1</v>
      </c>
      <c r="T49" s="1">
        <v>1</v>
      </c>
      <c r="U49" s="1" t="s">
        <v>8</v>
      </c>
      <c r="V49" s="16">
        <f t="shared" si="1"/>
        <v>4</v>
      </c>
      <c r="W49" s="1">
        <v>1</v>
      </c>
      <c r="X49" s="16">
        <v>1</v>
      </c>
      <c r="Y49" s="16">
        <v>1</v>
      </c>
      <c r="Z49" s="1">
        <v>1</v>
      </c>
      <c r="AA49" s="1" t="s">
        <v>289</v>
      </c>
      <c r="AB49" s="1" t="s">
        <v>183</v>
      </c>
      <c r="AC49" t="s">
        <v>195</v>
      </c>
      <c r="AD49" s="20" t="s">
        <v>347</v>
      </c>
      <c r="AE49" s="4">
        <v>3975.2974701958601</v>
      </c>
    </row>
    <row r="50" spans="1:31" x14ac:dyDescent="0.2">
      <c r="A50" s="7" t="s">
        <v>57</v>
      </c>
      <c r="B50" s="7" t="s">
        <v>160</v>
      </c>
      <c r="C50" s="7" t="s">
        <v>164</v>
      </c>
      <c r="D50" s="8" t="s">
        <v>8</v>
      </c>
      <c r="E50" s="8" t="s">
        <v>10</v>
      </c>
      <c r="F50" s="7" t="s">
        <v>8</v>
      </c>
      <c r="G50" s="9">
        <v>32.762432098388672</v>
      </c>
      <c r="H50" s="10">
        <v>17.024679183959961</v>
      </c>
      <c r="I50" s="11" t="s">
        <v>184</v>
      </c>
      <c r="J50" s="12">
        <v>16.927555084228516</v>
      </c>
      <c r="K50" s="13" t="s">
        <v>8</v>
      </c>
      <c r="L50" s="14" t="s">
        <v>8</v>
      </c>
      <c r="M50" s="15" t="s">
        <v>10</v>
      </c>
      <c r="N50" s="15" t="s">
        <v>8</v>
      </c>
      <c r="O50" s="15" t="s">
        <v>10</v>
      </c>
      <c r="P50" s="16">
        <f t="shared" si="2"/>
        <v>0</v>
      </c>
      <c r="Q50" s="16">
        <v>0</v>
      </c>
      <c r="R50" s="16">
        <v>0</v>
      </c>
      <c r="S50" s="16">
        <v>0</v>
      </c>
      <c r="T50" s="16">
        <v>0</v>
      </c>
      <c r="U50" s="16" t="s">
        <v>10</v>
      </c>
      <c r="V50" s="16">
        <f t="shared" si="1"/>
        <v>0</v>
      </c>
      <c r="W50" s="16">
        <v>0</v>
      </c>
      <c r="X50" s="16">
        <v>0</v>
      </c>
      <c r="Y50" s="16">
        <v>0</v>
      </c>
      <c r="Z50" s="16">
        <v>0</v>
      </c>
      <c r="AA50" s="16" t="s">
        <v>10</v>
      </c>
      <c r="AB50" s="16" t="s">
        <v>10</v>
      </c>
      <c r="AD50" s="20" t="s">
        <v>349</v>
      </c>
      <c r="AE50" s="16" t="s">
        <v>10</v>
      </c>
    </row>
    <row r="51" spans="1:31" x14ac:dyDescent="0.2">
      <c r="A51" s="6" t="s">
        <v>58</v>
      </c>
      <c r="B51" s="7" t="s">
        <v>160</v>
      </c>
      <c r="C51" s="7" t="s">
        <v>164</v>
      </c>
      <c r="D51" s="8" t="s">
        <v>7</v>
      </c>
      <c r="E51" s="8" t="s">
        <v>7</v>
      </c>
      <c r="F51" s="7" t="s">
        <v>8</v>
      </c>
      <c r="G51" s="9">
        <v>12.428106307983398</v>
      </c>
      <c r="H51" s="27">
        <v>13.361000000000001</v>
      </c>
      <c r="I51" s="28" t="s">
        <v>183</v>
      </c>
      <c r="J51" s="31">
        <v>17.777000000000001</v>
      </c>
      <c r="K51" s="13" t="s">
        <v>7</v>
      </c>
      <c r="L51" s="14" t="s">
        <v>8</v>
      </c>
      <c r="M51" s="15" t="s">
        <v>10</v>
      </c>
      <c r="N51" s="15" t="s">
        <v>7</v>
      </c>
      <c r="O51" s="15" t="s">
        <v>7</v>
      </c>
      <c r="P51" s="16">
        <f t="shared" si="2"/>
        <v>3</v>
      </c>
      <c r="Q51" s="1">
        <v>1</v>
      </c>
      <c r="R51" s="16">
        <v>1</v>
      </c>
      <c r="S51" s="16">
        <v>1</v>
      </c>
      <c r="T51" s="16">
        <v>0</v>
      </c>
      <c r="U51" s="16" t="s">
        <v>8</v>
      </c>
      <c r="V51" s="16">
        <f t="shared" si="1"/>
        <v>3</v>
      </c>
      <c r="W51" s="1">
        <v>1</v>
      </c>
      <c r="X51" s="16">
        <v>1</v>
      </c>
      <c r="Y51" s="16">
        <v>1</v>
      </c>
      <c r="Z51" s="16">
        <v>0</v>
      </c>
      <c r="AA51" s="16" t="s">
        <v>289</v>
      </c>
      <c r="AB51" s="16" t="s">
        <v>183</v>
      </c>
      <c r="AC51" t="s">
        <v>196</v>
      </c>
      <c r="AD51" s="20" t="s">
        <v>398</v>
      </c>
      <c r="AE51" s="4">
        <v>2435.9097178049501</v>
      </c>
    </row>
    <row r="52" spans="1:31" x14ac:dyDescent="0.2">
      <c r="A52" s="6" t="s">
        <v>59</v>
      </c>
      <c r="B52" s="7" t="s">
        <v>160</v>
      </c>
      <c r="C52" s="7" t="s">
        <v>164</v>
      </c>
      <c r="D52" s="8" t="s">
        <v>7</v>
      </c>
      <c r="E52" s="8" t="s">
        <v>8</v>
      </c>
      <c r="F52" s="7" t="s">
        <v>7</v>
      </c>
      <c r="G52" s="9">
        <v>25.584945678710938</v>
      </c>
      <c r="H52" s="27">
        <v>26.234999999999999</v>
      </c>
      <c r="I52" s="28" t="s">
        <v>183</v>
      </c>
      <c r="J52" s="31">
        <v>17.72</v>
      </c>
      <c r="K52" s="13" t="s">
        <v>7</v>
      </c>
      <c r="L52" s="14" t="s">
        <v>7</v>
      </c>
      <c r="M52" s="15" t="s">
        <v>10</v>
      </c>
      <c r="N52" s="15" t="s">
        <v>8</v>
      </c>
      <c r="O52" s="15" t="s">
        <v>10</v>
      </c>
      <c r="P52" s="16">
        <f t="shared" si="2"/>
        <v>0</v>
      </c>
      <c r="Q52" s="16">
        <v>0</v>
      </c>
      <c r="R52" s="16">
        <v>0</v>
      </c>
      <c r="S52" s="16">
        <v>0</v>
      </c>
      <c r="T52" s="16">
        <v>0</v>
      </c>
      <c r="U52" s="16" t="s">
        <v>10</v>
      </c>
      <c r="V52" s="16">
        <f t="shared" si="1"/>
        <v>0</v>
      </c>
      <c r="W52" s="1">
        <v>0</v>
      </c>
      <c r="X52" s="16">
        <v>0</v>
      </c>
      <c r="Y52" s="16">
        <v>0</v>
      </c>
      <c r="Z52" s="16">
        <v>0</v>
      </c>
      <c r="AA52" s="16" t="s">
        <v>10</v>
      </c>
      <c r="AB52" s="16" t="s">
        <v>10</v>
      </c>
      <c r="AD52" s="20" t="s">
        <v>410</v>
      </c>
      <c r="AE52" s="16" t="s">
        <v>10</v>
      </c>
    </row>
    <row r="53" spans="1:31" x14ac:dyDescent="0.2">
      <c r="A53" s="6" t="s">
        <v>60</v>
      </c>
      <c r="B53" s="7" t="s">
        <v>160</v>
      </c>
      <c r="C53" s="7" t="s">
        <v>164</v>
      </c>
      <c r="D53" s="8" t="s">
        <v>7</v>
      </c>
      <c r="E53" s="8" t="s">
        <v>7</v>
      </c>
      <c r="F53" s="7" t="s">
        <v>8</v>
      </c>
      <c r="G53" s="9">
        <v>12.81742000579834</v>
      </c>
      <c r="H53" s="27">
        <v>13.657999999999999</v>
      </c>
      <c r="I53" s="28" t="s">
        <v>183</v>
      </c>
      <c r="J53" s="31">
        <v>17.629000000000001</v>
      </c>
      <c r="K53" s="13" t="s">
        <v>7</v>
      </c>
      <c r="L53" s="14" t="s">
        <v>7</v>
      </c>
      <c r="M53" s="15" t="s">
        <v>7</v>
      </c>
      <c r="N53" s="15" t="s">
        <v>7</v>
      </c>
      <c r="O53" s="15" t="s">
        <v>7</v>
      </c>
      <c r="P53" s="16">
        <f t="shared" si="2"/>
        <v>4</v>
      </c>
      <c r="Q53" s="1">
        <v>1</v>
      </c>
      <c r="R53" s="16">
        <v>1</v>
      </c>
      <c r="S53" s="16">
        <v>1</v>
      </c>
      <c r="T53" s="1">
        <v>1</v>
      </c>
      <c r="U53" s="1" t="s">
        <v>8</v>
      </c>
      <c r="V53" s="16">
        <f t="shared" si="1"/>
        <v>4</v>
      </c>
      <c r="W53" s="1">
        <v>1</v>
      </c>
      <c r="X53" s="16">
        <v>1</v>
      </c>
      <c r="Y53" s="16">
        <v>1</v>
      </c>
      <c r="Z53" s="1">
        <v>1</v>
      </c>
      <c r="AA53" s="1" t="s">
        <v>289</v>
      </c>
      <c r="AB53" s="1" t="s">
        <v>183</v>
      </c>
      <c r="AC53" t="s">
        <v>197</v>
      </c>
      <c r="AD53" s="20" t="s">
        <v>419</v>
      </c>
      <c r="AE53" s="4">
        <v>2802.5748011397</v>
      </c>
    </row>
    <row r="54" spans="1:31" x14ac:dyDescent="0.2">
      <c r="A54" s="7" t="s">
        <v>61</v>
      </c>
      <c r="B54" s="7" t="s">
        <v>160</v>
      </c>
      <c r="C54" s="7" t="s">
        <v>164</v>
      </c>
      <c r="D54" s="8" t="s">
        <v>8</v>
      </c>
      <c r="E54" s="8" t="s">
        <v>10</v>
      </c>
      <c r="F54" s="7" t="s">
        <v>7</v>
      </c>
      <c r="G54" s="9">
        <v>28.472379684448242</v>
      </c>
      <c r="H54" s="10">
        <v>27.032758712768555</v>
      </c>
      <c r="I54" s="11" t="s">
        <v>183</v>
      </c>
      <c r="J54" s="12">
        <v>16.777383804321289</v>
      </c>
      <c r="K54" s="13" t="s">
        <v>7</v>
      </c>
      <c r="L54" s="14" t="s">
        <v>8</v>
      </c>
      <c r="M54" s="15" t="s">
        <v>10</v>
      </c>
      <c r="N54" s="15" t="s">
        <v>8</v>
      </c>
      <c r="O54" s="15" t="s">
        <v>10</v>
      </c>
      <c r="P54" s="16">
        <f t="shared" si="2"/>
        <v>0</v>
      </c>
      <c r="Q54" s="16">
        <v>0</v>
      </c>
      <c r="R54" s="16">
        <v>0</v>
      </c>
      <c r="S54" s="16">
        <v>0</v>
      </c>
      <c r="T54" s="16">
        <v>0</v>
      </c>
      <c r="U54" s="16" t="s">
        <v>10</v>
      </c>
      <c r="V54" s="16">
        <f t="shared" si="1"/>
        <v>0</v>
      </c>
      <c r="W54" s="16">
        <v>0</v>
      </c>
      <c r="X54" s="16">
        <v>0</v>
      </c>
      <c r="Y54" s="16">
        <v>0</v>
      </c>
      <c r="Z54" s="16">
        <v>0</v>
      </c>
      <c r="AA54" s="16" t="s">
        <v>10</v>
      </c>
      <c r="AB54" s="16" t="s">
        <v>10</v>
      </c>
      <c r="AD54" s="20" t="s">
        <v>418</v>
      </c>
      <c r="AE54" s="16" t="s">
        <v>10</v>
      </c>
    </row>
    <row r="55" spans="1:31" x14ac:dyDescent="0.2">
      <c r="A55" s="6" t="s">
        <v>62</v>
      </c>
      <c r="B55" s="7" t="s">
        <v>160</v>
      </c>
      <c r="C55" s="7" t="s">
        <v>164</v>
      </c>
      <c r="D55" s="8" t="s">
        <v>7</v>
      </c>
      <c r="E55" s="8" t="s">
        <v>7</v>
      </c>
      <c r="F55" s="7" t="s">
        <v>8</v>
      </c>
      <c r="G55" s="9">
        <v>28.702722549438477</v>
      </c>
      <c r="H55" s="27">
        <v>18.942</v>
      </c>
      <c r="I55" s="28" t="s">
        <v>183</v>
      </c>
      <c r="J55" s="31">
        <v>18.533999999999999</v>
      </c>
      <c r="K55" s="13" t="s">
        <v>7</v>
      </c>
      <c r="L55" s="14" t="s">
        <v>8</v>
      </c>
      <c r="M55" s="15" t="s">
        <v>10</v>
      </c>
      <c r="N55" s="15" t="s">
        <v>7</v>
      </c>
      <c r="O55" s="15" t="s">
        <v>7</v>
      </c>
      <c r="P55" s="16">
        <f t="shared" si="2"/>
        <v>4</v>
      </c>
      <c r="Q55" s="1">
        <v>1</v>
      </c>
      <c r="R55" s="16">
        <v>1</v>
      </c>
      <c r="S55" s="16">
        <v>2</v>
      </c>
      <c r="T55" s="16">
        <v>0</v>
      </c>
      <c r="U55" s="16" t="s">
        <v>7</v>
      </c>
      <c r="V55" s="16">
        <f t="shared" si="1"/>
        <v>4</v>
      </c>
      <c r="W55" s="1">
        <v>1</v>
      </c>
      <c r="X55" s="16">
        <v>1</v>
      </c>
      <c r="Y55" s="16">
        <v>2</v>
      </c>
      <c r="Z55" s="16">
        <v>0</v>
      </c>
      <c r="AA55" s="16" t="s">
        <v>288</v>
      </c>
      <c r="AB55" s="16" t="s">
        <v>292</v>
      </c>
      <c r="AC55" t="s">
        <v>198</v>
      </c>
      <c r="AD55" s="20" t="s">
        <v>417</v>
      </c>
      <c r="AE55" s="4">
        <v>642.05872519874299</v>
      </c>
    </row>
    <row r="56" spans="1:31" x14ac:dyDescent="0.2">
      <c r="A56" s="6" t="s">
        <v>63</v>
      </c>
      <c r="B56" s="7" t="s">
        <v>160</v>
      </c>
      <c r="C56" s="7" t="s">
        <v>164</v>
      </c>
      <c r="D56" s="8" t="s">
        <v>7</v>
      </c>
      <c r="E56" s="8" t="s">
        <v>7</v>
      </c>
      <c r="F56" s="7" t="s">
        <v>8</v>
      </c>
      <c r="G56" s="9">
        <v>12.130474090576172</v>
      </c>
      <c r="H56" s="27">
        <v>13.473000000000001</v>
      </c>
      <c r="I56" s="28" t="s">
        <v>183</v>
      </c>
      <c r="J56" s="31">
        <v>17.911999999999999</v>
      </c>
      <c r="K56" s="13" t="s">
        <v>7</v>
      </c>
      <c r="L56" s="14" t="s">
        <v>7</v>
      </c>
      <c r="M56" s="15" t="s">
        <v>7</v>
      </c>
      <c r="N56" s="15" t="s">
        <v>7</v>
      </c>
      <c r="O56" s="15" t="s">
        <v>7</v>
      </c>
      <c r="P56" s="16">
        <f t="shared" si="2"/>
        <v>4</v>
      </c>
      <c r="Q56" s="1">
        <v>1</v>
      </c>
      <c r="R56" s="16">
        <v>1</v>
      </c>
      <c r="S56" s="16">
        <v>1</v>
      </c>
      <c r="T56" s="16">
        <v>1</v>
      </c>
      <c r="U56" s="16" t="s">
        <v>8</v>
      </c>
      <c r="V56" s="16">
        <f t="shared" si="1"/>
        <v>4</v>
      </c>
      <c r="W56" s="1">
        <v>1</v>
      </c>
      <c r="X56" s="16">
        <v>1</v>
      </c>
      <c r="Y56" s="16">
        <v>1</v>
      </c>
      <c r="Z56" s="16">
        <v>1</v>
      </c>
      <c r="AA56" s="16" t="s">
        <v>289</v>
      </c>
      <c r="AB56" s="16" t="s">
        <v>183</v>
      </c>
      <c r="AC56" t="s">
        <v>200</v>
      </c>
      <c r="AD56" s="20" t="s">
        <v>407</v>
      </c>
      <c r="AE56" s="4">
        <v>5206.7391296686101</v>
      </c>
    </row>
    <row r="57" spans="1:31" x14ac:dyDescent="0.2">
      <c r="A57" s="6" t="s">
        <v>64</v>
      </c>
      <c r="B57" s="7" t="s">
        <v>160</v>
      </c>
      <c r="C57" s="7" t="s">
        <v>164</v>
      </c>
      <c r="D57" s="8" t="s">
        <v>7</v>
      </c>
      <c r="E57" s="8" t="s">
        <v>7</v>
      </c>
      <c r="F57" s="7" t="s">
        <v>8</v>
      </c>
      <c r="G57" s="9">
        <v>12.472797393798828</v>
      </c>
      <c r="H57" s="27">
        <v>13.631</v>
      </c>
      <c r="I57" s="28" t="s">
        <v>183</v>
      </c>
      <c r="J57" s="31">
        <v>17.138000000000002</v>
      </c>
      <c r="K57" s="13" t="s">
        <v>7</v>
      </c>
      <c r="L57" s="14" t="s">
        <v>7</v>
      </c>
      <c r="M57" s="15" t="s">
        <v>7</v>
      </c>
      <c r="N57" s="15" t="s">
        <v>7</v>
      </c>
      <c r="O57" s="15" t="s">
        <v>7</v>
      </c>
      <c r="P57" s="16">
        <f t="shared" si="2"/>
        <v>4</v>
      </c>
      <c r="Q57" s="1">
        <v>1</v>
      </c>
      <c r="R57" s="16">
        <v>1</v>
      </c>
      <c r="S57" s="16">
        <v>1</v>
      </c>
      <c r="T57" s="1">
        <v>1</v>
      </c>
      <c r="U57" s="1" t="s">
        <v>8</v>
      </c>
      <c r="V57" s="16">
        <f t="shared" si="1"/>
        <v>5</v>
      </c>
      <c r="W57" s="1">
        <v>1</v>
      </c>
      <c r="X57" s="16">
        <v>1</v>
      </c>
      <c r="Y57" s="16">
        <v>2</v>
      </c>
      <c r="Z57" s="16">
        <v>1</v>
      </c>
      <c r="AA57" s="16" t="s">
        <v>288</v>
      </c>
      <c r="AB57" s="16" t="s">
        <v>183</v>
      </c>
      <c r="AC57" t="s">
        <v>199</v>
      </c>
      <c r="AD57" s="20" t="s">
        <v>415</v>
      </c>
      <c r="AE57" s="4">
        <v>954.02404517916705</v>
      </c>
    </row>
    <row r="58" spans="1:31" x14ac:dyDescent="0.2">
      <c r="A58" s="6" t="s">
        <v>65</v>
      </c>
      <c r="B58" s="7" t="s">
        <v>160</v>
      </c>
      <c r="C58" s="7" t="s">
        <v>164</v>
      </c>
      <c r="D58" s="8" t="s">
        <v>7</v>
      </c>
      <c r="E58" s="8" t="s">
        <v>7</v>
      </c>
      <c r="F58" s="7" t="s">
        <v>8</v>
      </c>
      <c r="G58" s="9">
        <v>13.026846885681152</v>
      </c>
      <c r="H58" s="27">
        <v>13.997999999999999</v>
      </c>
      <c r="I58" s="28" t="s">
        <v>183</v>
      </c>
      <c r="J58" s="31">
        <v>18.170000000000002</v>
      </c>
      <c r="K58" s="13" t="s">
        <v>7</v>
      </c>
      <c r="L58" s="14" t="s">
        <v>7</v>
      </c>
      <c r="M58" s="15" t="s">
        <v>7</v>
      </c>
      <c r="N58" s="15" t="s">
        <v>7</v>
      </c>
      <c r="O58" s="15" t="s">
        <v>7</v>
      </c>
      <c r="P58" s="16">
        <f t="shared" si="2"/>
        <v>4</v>
      </c>
      <c r="Q58" s="1">
        <v>1</v>
      </c>
      <c r="R58" s="16">
        <v>1</v>
      </c>
      <c r="S58" s="16">
        <v>1</v>
      </c>
      <c r="T58" s="1">
        <v>1</v>
      </c>
      <c r="U58" s="1" t="s">
        <v>8</v>
      </c>
      <c r="V58" s="16">
        <f t="shared" si="1"/>
        <v>4</v>
      </c>
      <c r="W58" s="1">
        <v>1</v>
      </c>
      <c r="X58" s="16">
        <v>1</v>
      </c>
      <c r="Y58" s="16">
        <v>1</v>
      </c>
      <c r="Z58" s="1">
        <v>1</v>
      </c>
      <c r="AA58" s="1" t="s">
        <v>289</v>
      </c>
      <c r="AB58" s="1" t="s">
        <v>183</v>
      </c>
      <c r="AC58" t="s">
        <v>202</v>
      </c>
      <c r="AD58" s="20" t="s">
        <v>409</v>
      </c>
      <c r="AE58" s="4">
        <v>3958.8283289748802</v>
      </c>
    </row>
    <row r="59" spans="1:31" x14ac:dyDescent="0.2">
      <c r="A59" s="6" t="s">
        <v>66</v>
      </c>
      <c r="B59" s="7" t="s">
        <v>160</v>
      </c>
      <c r="C59" s="7" t="s">
        <v>164</v>
      </c>
      <c r="D59" s="8" t="s">
        <v>7</v>
      </c>
      <c r="E59" s="8" t="s">
        <v>7</v>
      </c>
      <c r="F59" s="7" t="s">
        <v>8</v>
      </c>
      <c r="G59" s="9">
        <v>8.871734619140625</v>
      </c>
      <c r="H59" s="27">
        <v>9.7650000000000006</v>
      </c>
      <c r="I59" s="28" t="s">
        <v>183</v>
      </c>
      <c r="J59" s="31">
        <v>16.776</v>
      </c>
      <c r="K59" s="13" t="s">
        <v>7</v>
      </c>
      <c r="L59" s="14" t="s">
        <v>7</v>
      </c>
      <c r="M59" s="15" t="s">
        <v>7</v>
      </c>
      <c r="N59" s="15" t="s">
        <v>7</v>
      </c>
      <c r="O59" s="15" t="s">
        <v>7</v>
      </c>
      <c r="P59" s="16">
        <f t="shared" si="2"/>
        <v>4</v>
      </c>
      <c r="Q59" s="1">
        <v>1</v>
      </c>
      <c r="R59" s="16">
        <v>1</v>
      </c>
      <c r="S59" s="16">
        <v>1</v>
      </c>
      <c r="T59" s="1">
        <v>1</v>
      </c>
      <c r="U59" s="1" t="s">
        <v>8</v>
      </c>
      <c r="V59" s="16">
        <f t="shared" si="1"/>
        <v>4</v>
      </c>
      <c r="W59" s="1">
        <v>1</v>
      </c>
      <c r="X59" s="16">
        <v>1</v>
      </c>
      <c r="Y59" s="16">
        <v>1</v>
      </c>
      <c r="Z59" s="1">
        <v>1</v>
      </c>
      <c r="AA59" s="1" t="s">
        <v>289</v>
      </c>
      <c r="AB59" s="1" t="s">
        <v>183</v>
      </c>
      <c r="AC59" t="s">
        <v>201</v>
      </c>
      <c r="AD59" s="20" t="s">
        <v>411</v>
      </c>
      <c r="AE59" s="4">
        <v>1645.09277482575</v>
      </c>
    </row>
    <row r="60" spans="1:31" x14ac:dyDescent="0.2">
      <c r="A60" s="6" t="s">
        <v>67</v>
      </c>
      <c r="B60" s="7" t="s">
        <v>160</v>
      </c>
      <c r="C60" s="7" t="s">
        <v>164</v>
      </c>
      <c r="D60" s="8" t="s">
        <v>7</v>
      </c>
      <c r="E60" s="8" t="s">
        <v>8</v>
      </c>
      <c r="F60" s="7" t="s">
        <v>7</v>
      </c>
      <c r="G60" s="9">
        <v>23.978687286376953</v>
      </c>
      <c r="H60" s="27">
        <v>24.347999999999999</v>
      </c>
      <c r="I60" s="28" t="s">
        <v>183</v>
      </c>
      <c r="J60" s="31">
        <v>18.469000000000001</v>
      </c>
      <c r="K60" s="13" t="s">
        <v>7</v>
      </c>
      <c r="L60" s="14" t="s">
        <v>8</v>
      </c>
      <c r="M60" s="15" t="s">
        <v>10</v>
      </c>
      <c r="N60" s="15" t="s">
        <v>7</v>
      </c>
      <c r="O60" s="15" t="s">
        <v>8</v>
      </c>
      <c r="P60" s="16">
        <f t="shared" si="2"/>
        <v>0</v>
      </c>
      <c r="Q60" s="16">
        <v>0</v>
      </c>
      <c r="R60" s="16">
        <v>0</v>
      </c>
      <c r="S60" s="16">
        <v>0</v>
      </c>
      <c r="T60" s="16">
        <v>0</v>
      </c>
      <c r="U60" s="16" t="s">
        <v>10</v>
      </c>
      <c r="V60" s="16">
        <f t="shared" si="1"/>
        <v>0</v>
      </c>
      <c r="W60" s="1">
        <v>0</v>
      </c>
      <c r="X60" s="16">
        <v>0</v>
      </c>
      <c r="Y60" s="16">
        <v>0</v>
      </c>
      <c r="Z60" s="1">
        <v>0</v>
      </c>
      <c r="AA60" s="1" t="s">
        <v>289</v>
      </c>
      <c r="AB60" s="1" t="s">
        <v>10</v>
      </c>
      <c r="AD60" s="20" t="s">
        <v>421</v>
      </c>
      <c r="AE60" s="4">
        <v>1.9186471815772901</v>
      </c>
    </row>
    <row r="61" spans="1:31" x14ac:dyDescent="0.2">
      <c r="A61" s="6" t="s">
        <v>68</v>
      </c>
      <c r="B61" s="7" t="s">
        <v>160</v>
      </c>
      <c r="C61" s="7" t="s">
        <v>164</v>
      </c>
      <c r="D61" s="8" t="s">
        <v>7</v>
      </c>
      <c r="E61" s="8" t="s">
        <v>8</v>
      </c>
      <c r="F61" s="7" t="s">
        <v>8</v>
      </c>
      <c r="G61" s="7">
        <v>12.256</v>
      </c>
      <c r="H61" s="27">
        <v>13.371</v>
      </c>
      <c r="I61" s="28" t="s">
        <v>183</v>
      </c>
      <c r="J61" s="31">
        <v>16.536000000000001</v>
      </c>
      <c r="K61" s="13" t="s">
        <v>8</v>
      </c>
      <c r="L61" s="14" t="s">
        <v>7</v>
      </c>
      <c r="M61" s="15" t="s">
        <v>7</v>
      </c>
      <c r="N61" s="15" t="s">
        <v>7</v>
      </c>
      <c r="O61" s="15" t="s">
        <v>7</v>
      </c>
      <c r="P61" s="16">
        <f t="shared" si="2"/>
        <v>4</v>
      </c>
      <c r="Q61" s="1">
        <v>1</v>
      </c>
      <c r="R61" s="16">
        <v>1</v>
      </c>
      <c r="S61" s="16">
        <v>1</v>
      </c>
      <c r="T61" s="1">
        <v>1</v>
      </c>
      <c r="U61" s="1" t="s">
        <v>8</v>
      </c>
      <c r="V61" s="16">
        <f t="shared" si="1"/>
        <v>4</v>
      </c>
      <c r="W61" s="1">
        <v>1</v>
      </c>
      <c r="X61" s="16">
        <v>1</v>
      </c>
      <c r="Y61" s="16">
        <v>1</v>
      </c>
      <c r="Z61" s="1">
        <v>1</v>
      </c>
      <c r="AA61" s="1" t="s">
        <v>289</v>
      </c>
      <c r="AB61" s="1" t="s">
        <v>183</v>
      </c>
      <c r="AC61" t="s">
        <v>203</v>
      </c>
      <c r="AD61" s="20" t="s">
        <v>408</v>
      </c>
      <c r="AE61" s="4">
        <v>18123.151949163599</v>
      </c>
    </row>
    <row r="62" spans="1:31" x14ac:dyDescent="0.2">
      <c r="A62" s="6" t="s">
        <v>69</v>
      </c>
      <c r="B62" s="7" t="s">
        <v>160</v>
      </c>
      <c r="C62" s="7" t="s">
        <v>164</v>
      </c>
      <c r="D62" s="8" t="s">
        <v>7</v>
      </c>
      <c r="E62" s="8" t="s">
        <v>7</v>
      </c>
      <c r="F62" s="7" t="s">
        <v>8</v>
      </c>
      <c r="G62" s="9">
        <v>12.23627758026123</v>
      </c>
      <c r="H62" s="27">
        <v>12.865</v>
      </c>
      <c r="I62" s="28" t="s">
        <v>183</v>
      </c>
      <c r="J62" s="31">
        <v>17.164999999999999</v>
      </c>
      <c r="K62" s="13" t="s">
        <v>7</v>
      </c>
      <c r="L62" s="14" t="s">
        <v>8</v>
      </c>
      <c r="M62" s="15" t="s">
        <v>10</v>
      </c>
      <c r="N62" s="15" t="s">
        <v>7</v>
      </c>
      <c r="O62" s="15" t="s">
        <v>7</v>
      </c>
      <c r="P62" s="16">
        <f t="shared" si="2"/>
        <v>3</v>
      </c>
      <c r="Q62" s="1">
        <v>1</v>
      </c>
      <c r="R62" s="32">
        <v>1</v>
      </c>
      <c r="S62" s="16">
        <v>1</v>
      </c>
      <c r="T62" s="16">
        <v>0</v>
      </c>
      <c r="U62" s="16" t="s">
        <v>10</v>
      </c>
      <c r="V62" s="16">
        <f t="shared" si="1"/>
        <v>3</v>
      </c>
      <c r="W62" s="1">
        <v>1</v>
      </c>
      <c r="X62" s="32">
        <v>1</v>
      </c>
      <c r="Y62" s="16">
        <v>1</v>
      </c>
      <c r="Z62" s="16">
        <v>0</v>
      </c>
      <c r="AA62" s="16" t="s">
        <v>289</v>
      </c>
      <c r="AB62" s="16" t="s">
        <v>183</v>
      </c>
      <c r="AC62" t="s">
        <v>204</v>
      </c>
      <c r="AD62" s="20" t="s">
        <v>402</v>
      </c>
      <c r="AE62" s="4">
        <v>2917.6145237563901</v>
      </c>
    </row>
    <row r="63" spans="1:31" x14ac:dyDescent="0.2">
      <c r="A63" s="6" t="s">
        <v>70</v>
      </c>
      <c r="B63" s="7" t="s">
        <v>160</v>
      </c>
      <c r="C63" s="7" t="s">
        <v>164</v>
      </c>
      <c r="D63" s="8" t="s">
        <v>7</v>
      </c>
      <c r="E63" s="8" t="s">
        <v>8</v>
      </c>
      <c r="F63" s="7" t="s">
        <v>8</v>
      </c>
      <c r="G63" s="9">
        <v>10.592506408691406</v>
      </c>
      <c r="H63" s="27">
        <v>11.621</v>
      </c>
      <c r="I63" s="28" t="s">
        <v>183</v>
      </c>
      <c r="J63" s="31">
        <v>19.204999999999998</v>
      </c>
      <c r="K63" s="13" t="s">
        <v>8</v>
      </c>
      <c r="L63" s="14" t="s">
        <v>7</v>
      </c>
      <c r="M63" s="15" t="s">
        <v>7</v>
      </c>
      <c r="N63" s="15" t="s">
        <v>7</v>
      </c>
      <c r="O63" s="15" t="s">
        <v>7</v>
      </c>
      <c r="P63" s="16">
        <f t="shared" si="2"/>
        <v>4</v>
      </c>
      <c r="Q63" s="1">
        <v>1</v>
      </c>
      <c r="R63" s="16">
        <v>1</v>
      </c>
      <c r="S63" s="16">
        <v>1</v>
      </c>
      <c r="T63" s="1">
        <v>1</v>
      </c>
      <c r="U63" s="1" t="s">
        <v>8</v>
      </c>
      <c r="V63" s="16">
        <f t="shared" si="1"/>
        <v>4</v>
      </c>
      <c r="W63" s="1">
        <v>1</v>
      </c>
      <c r="X63" s="16">
        <v>1</v>
      </c>
      <c r="Y63" s="16">
        <v>1</v>
      </c>
      <c r="Z63" s="1">
        <v>1</v>
      </c>
      <c r="AA63" s="1" t="s">
        <v>289</v>
      </c>
      <c r="AB63" s="1" t="s">
        <v>183</v>
      </c>
      <c r="AC63" t="s">
        <v>205</v>
      </c>
      <c r="AD63" s="20" t="s">
        <v>416</v>
      </c>
      <c r="AE63" s="4">
        <v>56683.292519241797</v>
      </c>
    </row>
    <row r="64" spans="1:31" x14ac:dyDescent="0.2">
      <c r="A64" s="7" t="s">
        <v>71</v>
      </c>
      <c r="B64" s="7" t="s">
        <v>160</v>
      </c>
      <c r="C64" s="7" t="s">
        <v>164</v>
      </c>
      <c r="D64" s="8" t="s">
        <v>7</v>
      </c>
      <c r="E64" s="8" t="s">
        <v>7</v>
      </c>
      <c r="F64" s="7" t="s">
        <v>8</v>
      </c>
      <c r="G64" s="9">
        <v>15.147397041320801</v>
      </c>
      <c r="H64" s="10">
        <v>15.459991455078125</v>
      </c>
      <c r="I64" s="11" t="s">
        <v>183</v>
      </c>
      <c r="J64" s="12">
        <v>19.731143951416016</v>
      </c>
      <c r="K64" s="13" t="s">
        <v>7</v>
      </c>
      <c r="L64" s="14" t="s">
        <v>7</v>
      </c>
      <c r="M64" s="15" t="s">
        <v>7</v>
      </c>
      <c r="N64" s="15" t="s">
        <v>7</v>
      </c>
      <c r="O64" s="15" t="s">
        <v>7</v>
      </c>
      <c r="P64" s="16">
        <f t="shared" si="2"/>
        <v>4</v>
      </c>
      <c r="Q64" s="1">
        <v>1</v>
      </c>
      <c r="R64" s="16">
        <v>1</v>
      </c>
      <c r="S64" s="16">
        <v>1</v>
      </c>
      <c r="T64" s="1">
        <v>1</v>
      </c>
      <c r="U64" s="1" t="s">
        <v>8</v>
      </c>
      <c r="V64" s="16">
        <f t="shared" si="1"/>
        <v>4</v>
      </c>
      <c r="W64" s="1">
        <v>1</v>
      </c>
      <c r="X64" s="16">
        <v>1</v>
      </c>
      <c r="Y64" s="16">
        <v>1</v>
      </c>
      <c r="Z64" s="1">
        <v>1</v>
      </c>
      <c r="AA64" s="1" t="s">
        <v>289</v>
      </c>
      <c r="AB64" s="1" t="s">
        <v>183</v>
      </c>
      <c r="AC64" t="s">
        <v>206</v>
      </c>
      <c r="AD64" s="20" t="s">
        <v>413</v>
      </c>
      <c r="AE64" s="4">
        <v>2914.6824778443502</v>
      </c>
    </row>
    <row r="65" spans="1:31" x14ac:dyDescent="0.2">
      <c r="A65" s="7" t="s">
        <v>72</v>
      </c>
      <c r="B65" s="7" t="s">
        <v>160</v>
      </c>
      <c r="C65" s="7" t="s">
        <v>164</v>
      </c>
      <c r="D65" s="8" t="s">
        <v>7</v>
      </c>
      <c r="E65" s="8" t="s">
        <v>7</v>
      </c>
      <c r="F65" s="7" t="s">
        <v>8</v>
      </c>
      <c r="G65" s="7">
        <v>0</v>
      </c>
      <c r="H65" s="10">
        <v>21.372707366943398</v>
      </c>
      <c r="I65" s="11" t="s">
        <v>184</v>
      </c>
      <c r="J65" s="12">
        <v>21.831569671630859</v>
      </c>
      <c r="K65" s="13" t="s">
        <v>7</v>
      </c>
      <c r="L65" s="14" t="s">
        <v>8</v>
      </c>
      <c r="M65" s="15" t="s">
        <v>10</v>
      </c>
      <c r="N65" s="15" t="s">
        <v>7</v>
      </c>
      <c r="O65" s="16" t="s">
        <v>8</v>
      </c>
      <c r="P65" s="16">
        <f t="shared" si="2"/>
        <v>3</v>
      </c>
      <c r="Q65" s="1">
        <v>1</v>
      </c>
      <c r="R65" s="16">
        <v>1</v>
      </c>
      <c r="S65" s="16">
        <v>1</v>
      </c>
      <c r="T65" s="16">
        <v>0</v>
      </c>
      <c r="U65" s="16" t="s">
        <v>8</v>
      </c>
      <c r="V65" s="16">
        <f t="shared" si="1"/>
        <v>4</v>
      </c>
      <c r="W65" s="1">
        <v>1</v>
      </c>
      <c r="X65" s="16">
        <v>1</v>
      </c>
      <c r="Y65" s="16">
        <v>2</v>
      </c>
      <c r="Z65" s="16">
        <v>0</v>
      </c>
      <c r="AA65" s="16" t="s">
        <v>288</v>
      </c>
      <c r="AB65" s="16" t="s">
        <v>184</v>
      </c>
      <c r="AC65" t="s">
        <v>207</v>
      </c>
      <c r="AD65" s="20" t="s">
        <v>428</v>
      </c>
      <c r="AE65" s="4">
        <v>237.419230173844</v>
      </c>
    </row>
    <row r="66" spans="1:31" x14ac:dyDescent="0.2">
      <c r="A66" s="7" t="s">
        <v>73</v>
      </c>
      <c r="B66" s="7" t="s">
        <v>160</v>
      </c>
      <c r="C66" s="7" t="s">
        <v>164</v>
      </c>
      <c r="D66" s="8" t="s">
        <v>7</v>
      </c>
      <c r="E66" s="8" t="s">
        <v>8</v>
      </c>
      <c r="F66" s="7" t="s">
        <v>7</v>
      </c>
      <c r="G66" s="9">
        <v>27.537172317504883</v>
      </c>
      <c r="H66" s="10">
        <v>27.620023727416992</v>
      </c>
      <c r="I66" s="11" t="s">
        <v>183</v>
      </c>
      <c r="J66" s="12">
        <v>22.252870559692383</v>
      </c>
      <c r="K66" s="13" t="s">
        <v>7</v>
      </c>
      <c r="L66" s="14" t="s">
        <v>7</v>
      </c>
      <c r="M66" s="15" t="s">
        <v>8</v>
      </c>
      <c r="N66" s="15" t="s">
        <v>7</v>
      </c>
      <c r="O66" s="15" t="s">
        <v>8</v>
      </c>
      <c r="P66" s="16">
        <f t="shared" ref="P66:P97" si="3">SUM(Q66:T66)</f>
        <v>0</v>
      </c>
      <c r="Q66" s="16">
        <v>0</v>
      </c>
      <c r="R66" s="16">
        <v>0</v>
      </c>
      <c r="S66" s="16">
        <v>0</v>
      </c>
      <c r="T66" s="16">
        <v>0</v>
      </c>
      <c r="U66" s="16" t="s">
        <v>10</v>
      </c>
      <c r="V66" s="16">
        <f t="shared" si="1"/>
        <v>0</v>
      </c>
      <c r="W66" s="1">
        <v>0</v>
      </c>
      <c r="X66" s="16">
        <v>0</v>
      </c>
      <c r="Y66" s="16">
        <v>0</v>
      </c>
      <c r="Z66" s="16">
        <v>0</v>
      </c>
      <c r="AA66" s="16" t="s">
        <v>289</v>
      </c>
      <c r="AB66" s="16" t="s">
        <v>10</v>
      </c>
      <c r="AD66" s="20" t="s">
        <v>424</v>
      </c>
      <c r="AE66" s="4">
        <v>0.97809124515416901</v>
      </c>
    </row>
    <row r="67" spans="1:31" x14ac:dyDescent="0.2">
      <c r="A67" s="7" t="s">
        <v>74</v>
      </c>
      <c r="B67" s="7" t="s">
        <v>160</v>
      </c>
      <c r="C67" s="7" t="s">
        <v>164</v>
      </c>
      <c r="D67" s="8" t="s">
        <v>7</v>
      </c>
      <c r="E67" s="8" t="s">
        <v>7</v>
      </c>
      <c r="F67" s="7" t="s">
        <v>8</v>
      </c>
      <c r="G67" s="7">
        <v>0</v>
      </c>
      <c r="H67" s="10">
        <v>22.419328689575195</v>
      </c>
      <c r="I67" s="11" t="s">
        <v>184</v>
      </c>
      <c r="J67" s="12">
        <v>20.989822387695312</v>
      </c>
      <c r="K67" s="13" t="s">
        <v>7</v>
      </c>
      <c r="L67" s="14" t="s">
        <v>8</v>
      </c>
      <c r="M67" s="15" t="s">
        <v>10</v>
      </c>
      <c r="N67" s="15" t="s">
        <v>7</v>
      </c>
      <c r="O67" s="15" t="s">
        <v>7</v>
      </c>
      <c r="P67" s="16">
        <f t="shared" si="3"/>
        <v>3</v>
      </c>
      <c r="Q67" s="1">
        <v>1</v>
      </c>
      <c r="R67" s="16">
        <v>1</v>
      </c>
      <c r="S67" s="16">
        <v>1</v>
      </c>
      <c r="T67" s="16">
        <v>0</v>
      </c>
      <c r="U67" s="16" t="s">
        <v>8</v>
      </c>
      <c r="V67" s="16">
        <f t="shared" ref="V67:V124" si="4">SUM(W67:Z67)</f>
        <v>3</v>
      </c>
      <c r="W67" s="1">
        <v>1</v>
      </c>
      <c r="X67" s="16">
        <v>1</v>
      </c>
      <c r="Y67" s="16">
        <v>1</v>
      </c>
      <c r="Z67" s="16">
        <v>0</v>
      </c>
      <c r="AA67" s="16" t="s">
        <v>289</v>
      </c>
      <c r="AB67" s="16" t="s">
        <v>184</v>
      </c>
      <c r="AC67" t="s">
        <v>208</v>
      </c>
      <c r="AD67" s="20" t="s">
        <v>404</v>
      </c>
      <c r="AE67" s="4">
        <v>205.35557080987101</v>
      </c>
    </row>
    <row r="68" spans="1:31" x14ac:dyDescent="0.2">
      <c r="A68" s="7" t="s">
        <v>75</v>
      </c>
      <c r="B68" s="7" t="s">
        <v>160</v>
      </c>
      <c r="C68" s="7" t="s">
        <v>164</v>
      </c>
      <c r="D68" s="8" t="s">
        <v>7</v>
      </c>
      <c r="E68" s="8" t="s">
        <v>7</v>
      </c>
      <c r="F68" s="7" t="s">
        <v>8</v>
      </c>
      <c r="G68" s="7">
        <v>0</v>
      </c>
      <c r="H68" s="10">
        <v>18.794445037841797</v>
      </c>
      <c r="I68" s="11" t="s">
        <v>184</v>
      </c>
      <c r="J68" s="12">
        <v>18.663068771362305</v>
      </c>
      <c r="K68" s="13" t="s">
        <v>7</v>
      </c>
      <c r="L68" s="14" t="s">
        <v>8</v>
      </c>
      <c r="M68" s="15" t="s">
        <v>10</v>
      </c>
      <c r="N68" s="15" t="s">
        <v>7</v>
      </c>
      <c r="O68" s="15" t="s">
        <v>7</v>
      </c>
      <c r="P68" s="16">
        <f t="shared" si="3"/>
        <v>3</v>
      </c>
      <c r="Q68" s="1">
        <v>1</v>
      </c>
      <c r="R68" s="16">
        <v>1</v>
      </c>
      <c r="S68" s="16">
        <v>1</v>
      </c>
      <c r="T68" s="16">
        <v>0</v>
      </c>
      <c r="U68" s="16" t="s">
        <v>8</v>
      </c>
      <c r="V68" s="16">
        <f t="shared" si="4"/>
        <v>3</v>
      </c>
      <c r="W68" s="1">
        <v>1</v>
      </c>
      <c r="X68" s="16">
        <v>1</v>
      </c>
      <c r="Y68" s="16">
        <v>1</v>
      </c>
      <c r="Z68" s="16">
        <v>0</v>
      </c>
      <c r="AA68" s="16" t="s">
        <v>289</v>
      </c>
      <c r="AB68" s="16" t="s">
        <v>184</v>
      </c>
      <c r="AC68" t="s">
        <v>235</v>
      </c>
      <c r="AD68" s="20" t="s">
        <v>426</v>
      </c>
      <c r="AE68" s="4">
        <v>489.12550187189902</v>
      </c>
    </row>
    <row r="69" spans="1:31" x14ac:dyDescent="0.2">
      <c r="A69" s="7" t="s">
        <v>76</v>
      </c>
      <c r="B69" s="7" t="s">
        <v>160</v>
      </c>
      <c r="C69" s="7" t="s">
        <v>164</v>
      </c>
      <c r="D69" s="8" t="s">
        <v>7</v>
      </c>
      <c r="E69" s="8" t="s">
        <v>7</v>
      </c>
      <c r="F69" s="7" t="s">
        <v>8</v>
      </c>
      <c r="G69" s="9">
        <v>27.179407119750977</v>
      </c>
      <c r="H69" s="10">
        <v>20.699396133422852</v>
      </c>
      <c r="I69" s="11" t="s">
        <v>183</v>
      </c>
      <c r="J69" s="12">
        <v>22.712816238403299</v>
      </c>
      <c r="K69" s="13" t="s">
        <v>7</v>
      </c>
      <c r="L69" s="14" t="s">
        <v>8</v>
      </c>
      <c r="M69" s="15" t="s">
        <v>10</v>
      </c>
      <c r="N69" s="15" t="s">
        <v>7</v>
      </c>
      <c r="O69" s="15" t="s">
        <v>7</v>
      </c>
      <c r="P69" s="16">
        <f t="shared" si="3"/>
        <v>3</v>
      </c>
      <c r="Q69" s="1">
        <v>1</v>
      </c>
      <c r="R69" s="16">
        <v>1</v>
      </c>
      <c r="S69" s="16">
        <v>1</v>
      </c>
      <c r="T69" s="16">
        <v>0</v>
      </c>
      <c r="U69" s="16" t="s">
        <v>8</v>
      </c>
      <c r="V69" s="16">
        <f t="shared" si="4"/>
        <v>7</v>
      </c>
      <c r="W69" s="1">
        <v>2</v>
      </c>
      <c r="X69" s="16">
        <v>2</v>
      </c>
      <c r="Y69" s="16">
        <v>2</v>
      </c>
      <c r="Z69" s="16">
        <v>1</v>
      </c>
      <c r="AA69" s="16" t="s">
        <v>288</v>
      </c>
      <c r="AB69" s="16" t="s">
        <v>184</v>
      </c>
      <c r="AC69" t="s">
        <v>236</v>
      </c>
      <c r="AD69" s="20" t="s">
        <v>425</v>
      </c>
      <c r="AE69" s="4">
        <v>653.925479681723</v>
      </c>
    </row>
    <row r="70" spans="1:31" x14ac:dyDescent="0.2">
      <c r="A70" s="7" t="s">
        <v>77</v>
      </c>
      <c r="B70" s="7" t="s">
        <v>160</v>
      </c>
      <c r="C70" s="7" t="s">
        <v>164</v>
      </c>
      <c r="D70" s="8" t="s">
        <v>7</v>
      </c>
      <c r="E70" s="8" t="s">
        <v>7</v>
      </c>
      <c r="F70" s="7" t="s">
        <v>8</v>
      </c>
      <c r="G70" s="9">
        <v>8.8716974258422852</v>
      </c>
      <c r="H70" s="10">
        <v>11.839483261108398</v>
      </c>
      <c r="I70" s="11" t="s">
        <v>183</v>
      </c>
      <c r="J70" s="12">
        <v>18.520893096923828</v>
      </c>
      <c r="K70" s="13" t="s">
        <v>7</v>
      </c>
      <c r="L70" s="14" t="s">
        <v>7</v>
      </c>
      <c r="M70" s="15" t="s">
        <v>7</v>
      </c>
      <c r="N70" s="15" t="s">
        <v>7</v>
      </c>
      <c r="O70" s="15" t="s">
        <v>7</v>
      </c>
      <c r="P70" s="16">
        <f t="shared" si="3"/>
        <v>4</v>
      </c>
      <c r="Q70" s="1">
        <v>1</v>
      </c>
      <c r="R70" s="1">
        <v>1</v>
      </c>
      <c r="S70" s="1">
        <v>1</v>
      </c>
      <c r="T70" s="1">
        <v>1</v>
      </c>
      <c r="U70" s="1" t="s">
        <v>8</v>
      </c>
      <c r="V70" s="16">
        <f t="shared" si="4"/>
        <v>4</v>
      </c>
      <c r="W70" s="1">
        <v>1</v>
      </c>
      <c r="X70" s="1">
        <v>1</v>
      </c>
      <c r="Y70" s="1">
        <v>1</v>
      </c>
      <c r="Z70" s="1">
        <v>1</v>
      </c>
      <c r="AA70" s="1" t="s">
        <v>289</v>
      </c>
      <c r="AB70" s="1" t="s">
        <v>183</v>
      </c>
      <c r="AC70" t="s">
        <v>237</v>
      </c>
      <c r="AD70" s="20" t="s">
        <v>404</v>
      </c>
      <c r="AE70" s="4">
        <v>62982.912431559504</v>
      </c>
    </row>
    <row r="71" spans="1:31" x14ac:dyDescent="0.2">
      <c r="A71" s="7" t="s">
        <v>78</v>
      </c>
      <c r="B71" s="7" t="s">
        <v>160</v>
      </c>
      <c r="C71" s="7" t="s">
        <v>164</v>
      </c>
      <c r="D71" s="8" t="s">
        <v>8</v>
      </c>
      <c r="E71" s="8" t="s">
        <v>10</v>
      </c>
      <c r="F71" s="7" t="s">
        <v>7</v>
      </c>
      <c r="G71" s="9">
        <v>24.899078369140625</v>
      </c>
      <c r="H71" s="10">
        <v>28.514627456665039</v>
      </c>
      <c r="I71" s="11" t="s">
        <v>183</v>
      </c>
      <c r="J71" s="12">
        <v>18.834943771362305</v>
      </c>
      <c r="K71" s="13" t="s">
        <v>7</v>
      </c>
      <c r="L71" s="14" t="s">
        <v>8</v>
      </c>
      <c r="M71" s="15" t="s">
        <v>10</v>
      </c>
      <c r="N71" s="15" t="s">
        <v>8</v>
      </c>
      <c r="O71" s="15" t="s">
        <v>10</v>
      </c>
      <c r="P71" s="16">
        <f t="shared" si="3"/>
        <v>0</v>
      </c>
      <c r="Q71" s="16">
        <v>0</v>
      </c>
      <c r="R71" s="16">
        <v>0</v>
      </c>
      <c r="S71" s="16">
        <v>0</v>
      </c>
      <c r="T71" s="16">
        <v>0</v>
      </c>
      <c r="U71" s="16" t="s">
        <v>10</v>
      </c>
      <c r="V71" s="16">
        <f t="shared" si="4"/>
        <v>0</v>
      </c>
      <c r="W71" s="16">
        <v>0</v>
      </c>
      <c r="X71" s="16">
        <v>0</v>
      </c>
      <c r="Y71" s="16">
        <v>0</v>
      </c>
      <c r="Z71" s="16">
        <v>0</v>
      </c>
      <c r="AA71" s="16" t="s">
        <v>10</v>
      </c>
      <c r="AB71" s="16" t="s">
        <v>10</v>
      </c>
      <c r="AD71" s="20" t="s">
        <v>427</v>
      </c>
      <c r="AE71" s="4" t="s">
        <v>10</v>
      </c>
    </row>
    <row r="72" spans="1:31" x14ac:dyDescent="0.2">
      <c r="A72" s="7" t="s">
        <v>79</v>
      </c>
      <c r="B72" s="7" t="s">
        <v>160</v>
      </c>
      <c r="C72" s="7" t="s">
        <v>164</v>
      </c>
      <c r="D72" s="8" t="s">
        <v>7</v>
      </c>
      <c r="E72" s="8" t="s">
        <v>7</v>
      </c>
      <c r="F72" s="7" t="s">
        <v>8</v>
      </c>
      <c r="G72" s="9">
        <v>31.122116088867188</v>
      </c>
      <c r="H72" s="10">
        <v>17.370752334594727</v>
      </c>
      <c r="I72" s="11" t="s">
        <v>184</v>
      </c>
      <c r="J72" s="12">
        <v>20.049114227294922</v>
      </c>
      <c r="K72" s="13" t="s">
        <v>7</v>
      </c>
      <c r="L72" s="14" t="s">
        <v>8</v>
      </c>
      <c r="M72" s="15" t="s">
        <v>10</v>
      </c>
      <c r="N72" s="15" t="s">
        <v>7</v>
      </c>
      <c r="O72" s="15" t="s">
        <v>7</v>
      </c>
      <c r="P72" s="16">
        <f t="shared" si="3"/>
        <v>3</v>
      </c>
      <c r="Q72" s="1">
        <v>1</v>
      </c>
      <c r="R72" s="16">
        <v>1</v>
      </c>
      <c r="S72" s="16">
        <v>1</v>
      </c>
      <c r="T72" s="16">
        <v>0</v>
      </c>
      <c r="U72" s="16" t="s">
        <v>8</v>
      </c>
      <c r="V72" s="16">
        <f t="shared" si="4"/>
        <v>4</v>
      </c>
      <c r="W72" s="16">
        <v>1</v>
      </c>
      <c r="X72" s="16">
        <v>2</v>
      </c>
      <c r="Y72" s="16">
        <v>1</v>
      </c>
      <c r="Z72" s="16">
        <v>0</v>
      </c>
      <c r="AA72" s="16" t="s">
        <v>288</v>
      </c>
      <c r="AB72" s="16" t="s">
        <v>184</v>
      </c>
      <c r="AC72" t="s">
        <v>238</v>
      </c>
      <c r="AD72" s="20" t="s">
        <v>403</v>
      </c>
      <c r="AE72" s="4">
        <v>1357.8919948616699</v>
      </c>
    </row>
    <row r="73" spans="1:31" x14ac:dyDescent="0.2">
      <c r="A73" s="7" t="s">
        <v>80</v>
      </c>
      <c r="B73" s="7" t="s">
        <v>160</v>
      </c>
      <c r="C73" s="7" t="s">
        <v>164</v>
      </c>
      <c r="D73" s="8" t="s">
        <v>8</v>
      </c>
      <c r="E73" s="8" t="s">
        <v>10</v>
      </c>
      <c r="F73" s="7" t="s">
        <v>7</v>
      </c>
      <c r="G73" s="9">
        <v>27.958059310913086</v>
      </c>
      <c r="H73" s="10">
        <v>28.925302505493164</v>
      </c>
      <c r="I73" s="11" t="s">
        <v>183</v>
      </c>
      <c r="J73" s="12">
        <v>18.331327438354492</v>
      </c>
      <c r="K73" s="13" t="s">
        <v>7</v>
      </c>
      <c r="L73" s="14" t="s">
        <v>8</v>
      </c>
      <c r="M73" s="15" t="s">
        <v>10</v>
      </c>
      <c r="N73" s="15" t="s">
        <v>8</v>
      </c>
      <c r="O73" s="15" t="s">
        <v>10</v>
      </c>
      <c r="P73" s="16">
        <f t="shared" si="3"/>
        <v>0</v>
      </c>
      <c r="Q73" s="16">
        <v>0</v>
      </c>
      <c r="R73" s="16">
        <v>0</v>
      </c>
      <c r="S73" s="16">
        <v>0</v>
      </c>
      <c r="T73" s="16">
        <v>0</v>
      </c>
      <c r="U73" s="16" t="s">
        <v>10</v>
      </c>
      <c r="V73" s="16">
        <f t="shared" si="4"/>
        <v>0</v>
      </c>
      <c r="W73" s="16">
        <v>0</v>
      </c>
      <c r="X73" s="16">
        <v>0</v>
      </c>
      <c r="Y73" s="16">
        <v>0</v>
      </c>
      <c r="Z73" s="16">
        <v>0</v>
      </c>
      <c r="AA73" s="16" t="s">
        <v>10</v>
      </c>
      <c r="AB73" s="16" t="s">
        <v>10</v>
      </c>
      <c r="AD73" s="20" t="s">
        <v>423</v>
      </c>
      <c r="AE73" s="16" t="s">
        <v>10</v>
      </c>
    </row>
    <row r="74" spans="1:31" x14ac:dyDescent="0.2">
      <c r="A74" s="7" t="s">
        <v>81</v>
      </c>
      <c r="B74" s="7" t="s">
        <v>160</v>
      </c>
      <c r="C74" s="7" t="s">
        <v>164</v>
      </c>
      <c r="D74" s="8" t="s">
        <v>7</v>
      </c>
      <c r="E74" s="8" t="s">
        <v>7</v>
      </c>
      <c r="F74" s="7" t="s">
        <v>8</v>
      </c>
      <c r="G74" s="33">
        <v>11.832000000000001</v>
      </c>
      <c r="H74" s="10">
        <v>13.40200138092041</v>
      </c>
      <c r="I74" s="11" t="s">
        <v>183</v>
      </c>
      <c r="J74" s="12">
        <v>16.590864181518555</v>
      </c>
      <c r="K74" s="13" t="s">
        <v>7</v>
      </c>
      <c r="L74" s="14" t="s">
        <v>7</v>
      </c>
      <c r="M74" s="15" t="s">
        <v>7</v>
      </c>
      <c r="N74" s="15" t="s">
        <v>7</v>
      </c>
      <c r="O74" s="15" t="s">
        <v>7</v>
      </c>
      <c r="P74" s="16">
        <f t="shared" si="3"/>
        <v>4</v>
      </c>
      <c r="Q74" s="1">
        <v>1</v>
      </c>
      <c r="R74" s="16">
        <v>1</v>
      </c>
      <c r="S74" s="16">
        <v>1</v>
      </c>
      <c r="T74" s="1">
        <v>1</v>
      </c>
      <c r="U74" s="1" t="s">
        <v>8</v>
      </c>
      <c r="V74" s="16">
        <f t="shared" si="4"/>
        <v>4</v>
      </c>
      <c r="W74" s="1">
        <v>1</v>
      </c>
      <c r="X74" s="16">
        <v>1</v>
      </c>
      <c r="Y74" s="16">
        <v>1</v>
      </c>
      <c r="Z74" s="1">
        <v>1</v>
      </c>
      <c r="AA74" s="1" t="s">
        <v>289</v>
      </c>
      <c r="AB74" s="1" t="s">
        <v>183</v>
      </c>
      <c r="AC74" t="s">
        <v>239</v>
      </c>
      <c r="AD74" s="20" t="s">
        <v>405</v>
      </c>
      <c r="AE74" s="36">
        <v>4506.78</v>
      </c>
    </row>
    <row r="75" spans="1:31" x14ac:dyDescent="0.2">
      <c r="A75" s="7" t="s">
        <v>82</v>
      </c>
      <c r="B75" s="7" t="s">
        <v>160</v>
      </c>
      <c r="C75" s="7" t="s">
        <v>164</v>
      </c>
      <c r="D75" s="8" t="s">
        <v>7</v>
      </c>
      <c r="E75" s="8" t="s">
        <v>7</v>
      </c>
      <c r="F75" s="7" t="s">
        <v>8</v>
      </c>
      <c r="G75" s="9">
        <v>29.473030090332031</v>
      </c>
      <c r="H75" s="10">
        <v>17.60045051574707</v>
      </c>
      <c r="I75" s="11" t="s">
        <v>183</v>
      </c>
      <c r="J75" s="12">
        <v>16.357486724853516</v>
      </c>
      <c r="K75" s="13" t="s">
        <v>7</v>
      </c>
      <c r="L75" s="14" t="s">
        <v>8</v>
      </c>
      <c r="M75" s="15" t="s">
        <v>10</v>
      </c>
      <c r="N75" s="15" t="s">
        <v>7</v>
      </c>
      <c r="O75" s="15" t="s">
        <v>7</v>
      </c>
      <c r="P75" s="16">
        <f t="shared" si="3"/>
        <v>3</v>
      </c>
      <c r="Q75" s="1">
        <v>1</v>
      </c>
      <c r="R75" s="16">
        <v>1</v>
      </c>
      <c r="S75" s="16">
        <v>1</v>
      </c>
      <c r="T75" s="16">
        <v>0</v>
      </c>
      <c r="U75" s="16" t="s">
        <v>8</v>
      </c>
      <c r="V75" s="16">
        <f t="shared" si="4"/>
        <v>3</v>
      </c>
      <c r="W75" s="1">
        <v>1</v>
      </c>
      <c r="X75" s="16">
        <v>1</v>
      </c>
      <c r="Y75" s="16">
        <v>1</v>
      </c>
      <c r="Z75" s="16">
        <v>0</v>
      </c>
      <c r="AA75" s="16" t="s">
        <v>289</v>
      </c>
      <c r="AB75" s="16" t="s">
        <v>184</v>
      </c>
      <c r="AC75" t="s">
        <v>240</v>
      </c>
      <c r="AD75" s="20" t="s">
        <v>406</v>
      </c>
      <c r="AE75" s="4">
        <v>269.69005857692099</v>
      </c>
    </row>
    <row r="76" spans="1:31" x14ac:dyDescent="0.2">
      <c r="A76" s="7" t="s">
        <v>83</v>
      </c>
      <c r="B76" s="7" t="s">
        <v>160</v>
      </c>
      <c r="C76" s="7" t="s">
        <v>164</v>
      </c>
      <c r="D76" s="8" t="s">
        <v>7</v>
      </c>
      <c r="E76" s="8" t="s">
        <v>7</v>
      </c>
      <c r="F76" s="7" t="s">
        <v>8</v>
      </c>
      <c r="G76" s="9">
        <v>11.549920082092285</v>
      </c>
      <c r="H76" s="10">
        <v>12.80751895904541</v>
      </c>
      <c r="I76" s="11" t="s">
        <v>183</v>
      </c>
      <c r="J76" s="12">
        <v>17.253305435180664</v>
      </c>
      <c r="K76" s="13" t="s">
        <v>7</v>
      </c>
      <c r="L76" s="14" t="s">
        <v>8</v>
      </c>
      <c r="M76" s="15" t="s">
        <v>10</v>
      </c>
      <c r="N76" s="15" t="s">
        <v>7</v>
      </c>
      <c r="O76" s="15" t="s">
        <v>7</v>
      </c>
      <c r="P76" s="16">
        <f t="shared" si="3"/>
        <v>3</v>
      </c>
      <c r="Q76" s="1">
        <v>1</v>
      </c>
      <c r="R76" s="16">
        <v>1</v>
      </c>
      <c r="S76" s="16">
        <v>1</v>
      </c>
      <c r="T76" s="16">
        <v>0</v>
      </c>
      <c r="U76" s="16" t="s">
        <v>8</v>
      </c>
      <c r="V76" s="16">
        <f t="shared" si="4"/>
        <v>3</v>
      </c>
      <c r="W76" s="1">
        <v>1</v>
      </c>
      <c r="X76" s="16">
        <v>1</v>
      </c>
      <c r="Y76" s="16">
        <v>1</v>
      </c>
      <c r="Z76" s="16">
        <v>0</v>
      </c>
      <c r="AA76" s="16" t="s">
        <v>289</v>
      </c>
      <c r="AB76" s="16" t="s">
        <v>183</v>
      </c>
      <c r="AC76" t="s">
        <v>241</v>
      </c>
      <c r="AD76" s="20" t="s">
        <v>438</v>
      </c>
      <c r="AE76" s="4">
        <v>1130.62112243046</v>
      </c>
    </row>
    <row r="77" spans="1:31" x14ac:dyDescent="0.2">
      <c r="A77" s="7" t="s">
        <v>84</v>
      </c>
      <c r="B77" s="7" t="s">
        <v>160</v>
      </c>
      <c r="C77" s="7" t="s">
        <v>164</v>
      </c>
      <c r="D77" s="8" t="s">
        <v>8</v>
      </c>
      <c r="E77" s="8" t="s">
        <v>10</v>
      </c>
      <c r="F77" s="7" t="s">
        <v>7</v>
      </c>
      <c r="G77" s="9">
        <v>28.859601974487305</v>
      </c>
      <c r="H77" s="10">
        <v>27.784330368041992</v>
      </c>
      <c r="I77" s="11" t="s">
        <v>183</v>
      </c>
      <c r="J77" s="12">
        <v>16.271211624145508</v>
      </c>
      <c r="K77" s="13" t="s">
        <v>7</v>
      </c>
      <c r="L77" s="14" t="s">
        <v>8</v>
      </c>
      <c r="M77" s="15" t="s">
        <v>10</v>
      </c>
      <c r="N77" s="15" t="s">
        <v>8</v>
      </c>
      <c r="O77" s="15" t="s">
        <v>10</v>
      </c>
      <c r="P77" s="16">
        <f t="shared" si="3"/>
        <v>0</v>
      </c>
      <c r="Q77" s="16">
        <v>0</v>
      </c>
      <c r="R77" s="16">
        <v>0</v>
      </c>
      <c r="S77" s="16">
        <v>0</v>
      </c>
      <c r="T77" s="16">
        <v>0</v>
      </c>
      <c r="U77" s="16" t="s">
        <v>10</v>
      </c>
      <c r="V77" s="16">
        <f t="shared" si="4"/>
        <v>0</v>
      </c>
      <c r="W77" s="16">
        <v>0</v>
      </c>
      <c r="X77" s="16">
        <v>0</v>
      </c>
      <c r="Y77" s="16">
        <v>0</v>
      </c>
      <c r="Z77" s="16">
        <v>0</v>
      </c>
      <c r="AA77" s="16" t="s">
        <v>10</v>
      </c>
      <c r="AB77" s="16" t="s">
        <v>10</v>
      </c>
      <c r="AD77" s="20" t="s">
        <v>449</v>
      </c>
      <c r="AE77" s="16" t="s">
        <v>10</v>
      </c>
    </row>
    <row r="78" spans="1:31" x14ac:dyDescent="0.2">
      <c r="A78" s="7" t="s">
        <v>85</v>
      </c>
      <c r="B78" s="7" t="s">
        <v>160</v>
      </c>
      <c r="C78" s="7" t="s">
        <v>164</v>
      </c>
      <c r="D78" s="8" t="s">
        <v>8</v>
      </c>
      <c r="E78" s="8" t="s">
        <v>10</v>
      </c>
      <c r="F78" s="7" t="s">
        <v>7</v>
      </c>
      <c r="G78" s="9">
        <v>28.997045516967773</v>
      </c>
      <c r="H78" s="10">
        <v>27.842777252197266</v>
      </c>
      <c r="I78" s="11" t="s">
        <v>183</v>
      </c>
      <c r="J78" s="12">
        <v>18.960979461669922</v>
      </c>
      <c r="K78" s="13" t="s">
        <v>7</v>
      </c>
      <c r="L78" s="14" t="s">
        <v>8</v>
      </c>
      <c r="M78" s="15" t="s">
        <v>10</v>
      </c>
      <c r="N78" s="15" t="s">
        <v>8</v>
      </c>
      <c r="O78" s="15" t="s">
        <v>10</v>
      </c>
      <c r="P78" s="16">
        <f t="shared" si="3"/>
        <v>0</v>
      </c>
      <c r="Q78" s="16">
        <v>0</v>
      </c>
      <c r="R78" s="16">
        <v>0</v>
      </c>
      <c r="S78" s="16">
        <v>0</v>
      </c>
      <c r="T78" s="16">
        <v>0</v>
      </c>
      <c r="U78" s="16" t="s">
        <v>10</v>
      </c>
      <c r="V78" s="16">
        <f t="shared" si="4"/>
        <v>0</v>
      </c>
      <c r="W78" s="16">
        <v>0</v>
      </c>
      <c r="X78" s="16">
        <v>0</v>
      </c>
      <c r="Y78" s="16">
        <v>0</v>
      </c>
      <c r="Z78" s="16">
        <v>0</v>
      </c>
      <c r="AA78" s="16" t="s">
        <v>10</v>
      </c>
      <c r="AB78" s="16" t="s">
        <v>10</v>
      </c>
      <c r="AD78" s="20" t="s">
        <v>450</v>
      </c>
      <c r="AE78" s="16" t="s">
        <v>10</v>
      </c>
    </row>
    <row r="79" spans="1:31" x14ac:dyDescent="0.2">
      <c r="A79" s="7" t="s">
        <v>86</v>
      </c>
      <c r="B79" s="7" t="s">
        <v>160</v>
      </c>
      <c r="C79" s="7" t="s">
        <v>164</v>
      </c>
      <c r="D79" s="8" t="s">
        <v>7</v>
      </c>
      <c r="E79" s="8" t="s">
        <v>7</v>
      </c>
      <c r="F79" s="7" t="s">
        <v>8</v>
      </c>
      <c r="G79" s="9">
        <v>10.385673522949219</v>
      </c>
      <c r="H79" s="10">
        <v>11.827540397644043</v>
      </c>
      <c r="I79" s="11" t="s">
        <v>183</v>
      </c>
      <c r="J79" s="12">
        <v>19.240188598632812</v>
      </c>
      <c r="K79" s="13" t="s">
        <v>7</v>
      </c>
      <c r="L79" s="14" t="s">
        <v>7</v>
      </c>
      <c r="M79" s="15" t="s">
        <v>7</v>
      </c>
      <c r="N79" s="15" t="s">
        <v>7</v>
      </c>
      <c r="O79" s="15" t="s">
        <v>7</v>
      </c>
      <c r="P79" s="16">
        <f t="shared" si="3"/>
        <v>4</v>
      </c>
      <c r="Q79" s="1">
        <v>1</v>
      </c>
      <c r="R79" s="16">
        <v>1</v>
      </c>
      <c r="S79" s="16">
        <v>1</v>
      </c>
      <c r="T79" s="1">
        <v>1</v>
      </c>
      <c r="U79" s="1" t="s">
        <v>8</v>
      </c>
      <c r="V79" s="16">
        <f t="shared" si="4"/>
        <v>5</v>
      </c>
      <c r="W79" s="16">
        <v>1</v>
      </c>
      <c r="X79" s="16">
        <v>1</v>
      </c>
      <c r="Y79" s="16">
        <v>2</v>
      </c>
      <c r="Z79" s="16">
        <v>1</v>
      </c>
      <c r="AA79" s="16" t="s">
        <v>288</v>
      </c>
      <c r="AB79" s="16" t="s">
        <v>183</v>
      </c>
      <c r="AC79" t="s">
        <v>242</v>
      </c>
      <c r="AD79" s="20" t="s">
        <v>439</v>
      </c>
      <c r="AE79" s="4">
        <v>2960.21682387383</v>
      </c>
    </row>
    <row r="80" spans="1:31" x14ac:dyDescent="0.2">
      <c r="A80" s="7" t="s">
        <v>87</v>
      </c>
      <c r="B80" s="7" t="s">
        <v>160</v>
      </c>
      <c r="C80" s="7" t="s">
        <v>164</v>
      </c>
      <c r="D80" s="8" t="s">
        <v>7</v>
      </c>
      <c r="E80" s="8" t="s">
        <v>7</v>
      </c>
      <c r="F80" s="7" t="s">
        <v>8</v>
      </c>
      <c r="G80" s="9">
        <v>10.855312347412109</v>
      </c>
      <c r="H80" s="10">
        <v>11.402040481567383</v>
      </c>
      <c r="I80" s="11" t="s">
        <v>183</v>
      </c>
      <c r="J80" s="12">
        <v>17.963279724121094</v>
      </c>
      <c r="K80" s="13" t="s">
        <v>7</v>
      </c>
      <c r="L80" s="14" t="s">
        <v>7</v>
      </c>
      <c r="M80" s="15" t="s">
        <v>7</v>
      </c>
      <c r="N80" s="15" t="s">
        <v>7</v>
      </c>
      <c r="O80" s="15" t="s">
        <v>7</v>
      </c>
      <c r="P80" s="16">
        <f t="shared" si="3"/>
        <v>4</v>
      </c>
      <c r="Q80" s="1">
        <v>1</v>
      </c>
      <c r="R80" s="16">
        <v>1</v>
      </c>
      <c r="S80" s="16">
        <v>1</v>
      </c>
      <c r="T80" s="1">
        <v>1</v>
      </c>
      <c r="U80" s="1" t="s">
        <v>8</v>
      </c>
      <c r="V80" s="16">
        <f t="shared" si="4"/>
        <v>4</v>
      </c>
      <c r="W80" s="1">
        <v>1</v>
      </c>
      <c r="X80" s="16">
        <v>1</v>
      </c>
      <c r="Y80" s="16">
        <v>1</v>
      </c>
      <c r="Z80" s="1">
        <v>1</v>
      </c>
      <c r="AA80" s="1" t="s">
        <v>289</v>
      </c>
      <c r="AB80" s="1" t="s">
        <v>183</v>
      </c>
      <c r="AC80" t="s">
        <v>243</v>
      </c>
      <c r="AD80" s="20" t="s">
        <v>441</v>
      </c>
      <c r="AE80" s="4">
        <v>1692.97922694217</v>
      </c>
    </row>
    <row r="81" spans="1:31" x14ac:dyDescent="0.2">
      <c r="A81" s="7" t="s">
        <v>88</v>
      </c>
      <c r="B81" s="7" t="s">
        <v>160</v>
      </c>
      <c r="C81" s="7" t="s">
        <v>164</v>
      </c>
      <c r="D81" s="8" t="s">
        <v>7</v>
      </c>
      <c r="E81" s="8" t="s">
        <v>7</v>
      </c>
      <c r="F81" s="7" t="s">
        <v>8</v>
      </c>
      <c r="G81" s="9">
        <v>10.584362983703613</v>
      </c>
      <c r="H81" s="10">
        <v>12.315896034240723</v>
      </c>
      <c r="I81" s="11" t="s">
        <v>183</v>
      </c>
      <c r="J81" s="12">
        <v>17.22039794921875</v>
      </c>
      <c r="K81" s="13" t="s">
        <v>7</v>
      </c>
      <c r="L81" s="14" t="s">
        <v>7</v>
      </c>
      <c r="M81" s="15" t="s">
        <v>7</v>
      </c>
      <c r="N81" s="15" t="s">
        <v>7</v>
      </c>
      <c r="O81" s="15" t="s">
        <v>7</v>
      </c>
      <c r="P81" s="16">
        <f t="shared" si="3"/>
        <v>4</v>
      </c>
      <c r="Q81" s="1">
        <v>1</v>
      </c>
      <c r="R81" s="16">
        <v>1</v>
      </c>
      <c r="S81" s="16">
        <v>1</v>
      </c>
      <c r="T81" s="1">
        <v>1</v>
      </c>
      <c r="U81" s="1" t="s">
        <v>8</v>
      </c>
      <c r="V81" s="16">
        <f t="shared" si="4"/>
        <v>4</v>
      </c>
      <c r="W81" s="1">
        <v>1</v>
      </c>
      <c r="X81" s="16">
        <v>1</v>
      </c>
      <c r="Y81" s="16">
        <v>1</v>
      </c>
      <c r="Z81" s="1">
        <v>1</v>
      </c>
      <c r="AA81" s="1" t="s">
        <v>289</v>
      </c>
      <c r="AB81" s="1" t="s">
        <v>183</v>
      </c>
      <c r="AC81" t="s">
        <v>244</v>
      </c>
      <c r="AD81" s="20" t="s">
        <v>433</v>
      </c>
      <c r="AE81" s="4">
        <v>2576.2752443119298</v>
      </c>
    </row>
    <row r="82" spans="1:31" x14ac:dyDescent="0.2">
      <c r="A82" s="7" t="s">
        <v>89</v>
      </c>
      <c r="B82" s="7" t="s">
        <v>160</v>
      </c>
      <c r="C82" s="7" t="s">
        <v>164</v>
      </c>
      <c r="D82" s="8" t="s">
        <v>7</v>
      </c>
      <c r="E82" s="8" t="s">
        <v>7</v>
      </c>
      <c r="F82" s="7" t="s">
        <v>8</v>
      </c>
      <c r="G82" s="9">
        <v>10.630273818969727</v>
      </c>
      <c r="H82" s="10">
        <v>12.33470344543457</v>
      </c>
      <c r="I82" s="11" t="s">
        <v>183</v>
      </c>
      <c r="J82" s="12">
        <v>17.655099868774414</v>
      </c>
      <c r="K82" s="13" t="s">
        <v>7</v>
      </c>
      <c r="L82" s="14" t="s">
        <v>7</v>
      </c>
      <c r="M82" s="15" t="s">
        <v>7</v>
      </c>
      <c r="N82" s="15" t="s">
        <v>7</v>
      </c>
      <c r="O82" s="15" t="s">
        <v>7</v>
      </c>
      <c r="P82" s="16">
        <f t="shared" si="3"/>
        <v>4</v>
      </c>
      <c r="Q82" s="1">
        <v>1</v>
      </c>
      <c r="R82" s="16">
        <v>1</v>
      </c>
      <c r="S82" s="16">
        <v>1</v>
      </c>
      <c r="T82" s="1">
        <v>1</v>
      </c>
      <c r="U82" s="1" t="s">
        <v>8</v>
      </c>
      <c r="V82" s="16">
        <f t="shared" si="4"/>
        <v>5</v>
      </c>
      <c r="W82" s="1">
        <v>1</v>
      </c>
      <c r="X82" s="16">
        <v>1</v>
      </c>
      <c r="Y82" s="16">
        <v>2</v>
      </c>
      <c r="Z82" s="1">
        <v>1</v>
      </c>
      <c r="AA82" s="1" t="s">
        <v>288</v>
      </c>
      <c r="AB82" s="1" t="s">
        <v>183</v>
      </c>
      <c r="AC82" t="s">
        <v>245</v>
      </c>
      <c r="AD82" s="20" t="s">
        <v>435</v>
      </c>
      <c r="AE82" s="4">
        <v>4147.7413075938002</v>
      </c>
    </row>
    <row r="83" spans="1:31" x14ac:dyDescent="0.2">
      <c r="A83" s="7" t="s">
        <v>90</v>
      </c>
      <c r="B83" s="7" t="s">
        <v>160</v>
      </c>
      <c r="C83" s="7" t="s">
        <v>164</v>
      </c>
      <c r="D83" s="8" t="s">
        <v>7</v>
      </c>
      <c r="E83" s="8" t="s">
        <v>7</v>
      </c>
      <c r="F83" s="7" t="s">
        <v>8</v>
      </c>
      <c r="G83" s="9">
        <v>11.685555458068848</v>
      </c>
      <c r="H83" s="10">
        <v>11.747514724731445</v>
      </c>
      <c r="I83" s="11" t="s">
        <v>183</v>
      </c>
      <c r="J83" s="12">
        <v>18.372575759887695</v>
      </c>
      <c r="K83" s="13" t="s">
        <v>7</v>
      </c>
      <c r="L83" s="14" t="s">
        <v>7</v>
      </c>
      <c r="M83" s="15" t="s">
        <v>7</v>
      </c>
      <c r="N83" s="15" t="s">
        <v>7</v>
      </c>
      <c r="O83" s="15" t="s">
        <v>7</v>
      </c>
      <c r="P83" s="16">
        <f t="shared" si="3"/>
        <v>4</v>
      </c>
      <c r="Q83" s="1">
        <v>1</v>
      </c>
      <c r="R83" s="16">
        <v>1</v>
      </c>
      <c r="S83" s="16">
        <v>1</v>
      </c>
      <c r="T83" s="1">
        <v>1</v>
      </c>
      <c r="U83" s="1" t="s">
        <v>8</v>
      </c>
      <c r="V83" s="16">
        <f t="shared" si="4"/>
        <v>4</v>
      </c>
      <c r="W83" s="1">
        <v>1</v>
      </c>
      <c r="X83" s="16">
        <v>1</v>
      </c>
      <c r="Y83" s="16">
        <v>1</v>
      </c>
      <c r="Z83" s="1">
        <v>1</v>
      </c>
      <c r="AA83" s="1" t="s">
        <v>289</v>
      </c>
      <c r="AB83" s="1" t="s">
        <v>183</v>
      </c>
      <c r="AC83" t="s">
        <v>246</v>
      </c>
      <c r="AD83" s="20" t="s">
        <v>434</v>
      </c>
      <c r="AE83" s="4">
        <v>4751.5857498038804</v>
      </c>
    </row>
    <row r="84" spans="1:31" x14ac:dyDescent="0.2">
      <c r="A84" s="7" t="s">
        <v>91</v>
      </c>
      <c r="B84" s="7" t="s">
        <v>160</v>
      </c>
      <c r="C84" s="7" t="s">
        <v>164</v>
      </c>
      <c r="D84" s="8" t="s">
        <v>7</v>
      </c>
      <c r="E84" s="8" t="s">
        <v>8</v>
      </c>
      <c r="F84" s="7" t="s">
        <v>7</v>
      </c>
      <c r="G84" s="9">
        <v>27.736288070678711</v>
      </c>
      <c r="H84" s="10">
        <v>27.483760833740199</v>
      </c>
      <c r="I84" s="11" t="s">
        <v>183</v>
      </c>
      <c r="J84" s="12">
        <v>18.486640930175781</v>
      </c>
      <c r="K84" s="13" t="s">
        <v>7</v>
      </c>
      <c r="L84" s="14" t="s">
        <v>8</v>
      </c>
      <c r="M84" s="15" t="s">
        <v>10</v>
      </c>
      <c r="N84" s="15" t="s">
        <v>7</v>
      </c>
      <c r="O84" s="15" t="s">
        <v>8</v>
      </c>
      <c r="P84" s="16">
        <f t="shared" si="3"/>
        <v>0</v>
      </c>
      <c r="Q84" s="16">
        <v>0</v>
      </c>
      <c r="R84" s="16">
        <v>0</v>
      </c>
      <c r="S84" s="16">
        <v>0</v>
      </c>
      <c r="T84" s="16">
        <v>0</v>
      </c>
      <c r="U84" s="16" t="s">
        <v>10</v>
      </c>
      <c r="V84" s="16">
        <f t="shared" si="4"/>
        <v>0</v>
      </c>
      <c r="W84" s="1">
        <v>0</v>
      </c>
      <c r="X84" s="16">
        <v>0</v>
      </c>
      <c r="Y84" s="16">
        <v>0</v>
      </c>
      <c r="Z84" s="1">
        <v>0</v>
      </c>
      <c r="AA84" s="1" t="s">
        <v>10</v>
      </c>
      <c r="AB84" s="1" t="s">
        <v>10</v>
      </c>
      <c r="AD84" s="20" t="s">
        <v>431</v>
      </c>
      <c r="AE84" s="1" t="s">
        <v>10</v>
      </c>
    </row>
    <row r="85" spans="1:31" x14ac:dyDescent="0.2">
      <c r="A85" s="7" t="s">
        <v>92</v>
      </c>
      <c r="B85" s="7" t="s">
        <v>160</v>
      </c>
      <c r="C85" s="7" t="s">
        <v>165</v>
      </c>
      <c r="D85" s="8" t="s">
        <v>8</v>
      </c>
      <c r="E85" s="8" t="s">
        <v>10</v>
      </c>
      <c r="F85" s="7" t="s">
        <v>7</v>
      </c>
      <c r="G85" s="9">
        <v>30.58984375</v>
      </c>
      <c r="H85" s="18">
        <v>30.503763198852539</v>
      </c>
      <c r="I85" s="11" t="s">
        <v>183</v>
      </c>
      <c r="J85" s="12">
        <v>27.816560745239258</v>
      </c>
      <c r="K85" s="13" t="s">
        <v>7</v>
      </c>
      <c r="L85" s="14" t="s">
        <v>8</v>
      </c>
      <c r="M85" s="15" t="s">
        <v>10</v>
      </c>
      <c r="N85" s="15" t="s">
        <v>8</v>
      </c>
      <c r="O85" s="15" t="s">
        <v>10</v>
      </c>
      <c r="P85" s="16">
        <f t="shared" si="3"/>
        <v>0</v>
      </c>
      <c r="Q85" s="16">
        <v>0</v>
      </c>
      <c r="R85" s="16">
        <v>0</v>
      </c>
      <c r="S85" s="16">
        <v>0</v>
      </c>
      <c r="T85" s="16">
        <v>0</v>
      </c>
      <c r="U85" s="16" t="s">
        <v>10</v>
      </c>
      <c r="V85" s="16">
        <f t="shared" si="4"/>
        <v>0</v>
      </c>
      <c r="W85" s="16">
        <v>0</v>
      </c>
      <c r="X85" s="16">
        <v>0</v>
      </c>
      <c r="Y85" s="16">
        <v>0</v>
      </c>
      <c r="Z85" s="16">
        <v>0</v>
      </c>
      <c r="AA85" s="16" t="s">
        <v>10</v>
      </c>
      <c r="AB85" s="16" t="s">
        <v>10</v>
      </c>
      <c r="AD85" s="20" t="s">
        <v>437</v>
      </c>
      <c r="AE85" s="16" t="s">
        <v>10</v>
      </c>
    </row>
    <row r="86" spans="1:31" x14ac:dyDescent="0.2">
      <c r="A86" s="7" t="s">
        <v>93</v>
      </c>
      <c r="B86" s="7" t="s">
        <v>160</v>
      </c>
      <c r="C86" s="7" t="s">
        <v>164</v>
      </c>
      <c r="D86" s="8" t="s">
        <v>7</v>
      </c>
      <c r="E86" s="8" t="s">
        <v>7</v>
      </c>
      <c r="F86" s="7" t="s">
        <v>8</v>
      </c>
      <c r="G86" s="7">
        <v>0</v>
      </c>
      <c r="H86" s="10">
        <v>19.215795516967773</v>
      </c>
      <c r="I86" s="11" t="s">
        <v>184</v>
      </c>
      <c r="J86" s="12">
        <v>18.339443206787109</v>
      </c>
      <c r="K86" s="13" t="s">
        <v>7</v>
      </c>
      <c r="L86" s="14" t="s">
        <v>8</v>
      </c>
      <c r="M86" s="15" t="s">
        <v>10</v>
      </c>
      <c r="N86" s="15" t="s">
        <v>7</v>
      </c>
      <c r="O86" s="15" t="s">
        <v>7</v>
      </c>
      <c r="P86" s="16">
        <f t="shared" si="3"/>
        <v>3</v>
      </c>
      <c r="Q86" s="1">
        <v>1</v>
      </c>
      <c r="R86" s="16">
        <v>1</v>
      </c>
      <c r="S86" s="16">
        <v>1</v>
      </c>
      <c r="T86" s="16">
        <v>0</v>
      </c>
      <c r="U86" s="16" t="s">
        <v>8</v>
      </c>
      <c r="V86" s="16">
        <f t="shared" si="4"/>
        <v>3</v>
      </c>
      <c r="W86" s="1">
        <v>1</v>
      </c>
      <c r="X86" s="16">
        <v>1</v>
      </c>
      <c r="Y86" s="16">
        <v>1</v>
      </c>
      <c r="Z86" s="16">
        <v>0</v>
      </c>
      <c r="AA86" s="16" t="s">
        <v>289</v>
      </c>
      <c r="AB86" s="16" t="s">
        <v>184</v>
      </c>
      <c r="AC86" t="s">
        <v>247</v>
      </c>
      <c r="AD86" s="20" t="s">
        <v>429</v>
      </c>
      <c r="AE86" s="4">
        <v>1173.7671236181</v>
      </c>
    </row>
    <row r="87" spans="1:31" x14ac:dyDescent="0.2">
      <c r="A87" s="7" t="s">
        <v>94</v>
      </c>
      <c r="B87" s="7" t="s">
        <v>160</v>
      </c>
      <c r="C87" s="7" t="s">
        <v>164</v>
      </c>
      <c r="D87" s="8" t="s">
        <v>7</v>
      </c>
      <c r="E87" s="8" t="s">
        <v>7</v>
      </c>
      <c r="F87" s="7" t="s">
        <v>8</v>
      </c>
      <c r="G87" s="9">
        <v>22.906354904174805</v>
      </c>
      <c r="H87" s="10">
        <v>21.186649322509766</v>
      </c>
      <c r="I87" s="11" t="s">
        <v>183</v>
      </c>
      <c r="J87" s="12">
        <v>18.000785827636719</v>
      </c>
      <c r="K87" s="13" t="s">
        <v>7</v>
      </c>
      <c r="L87" s="14" t="s">
        <v>7</v>
      </c>
      <c r="M87" s="15" t="s">
        <v>7</v>
      </c>
      <c r="N87" s="15" t="s">
        <v>7</v>
      </c>
      <c r="O87" s="15" t="s">
        <v>7</v>
      </c>
      <c r="P87" s="16">
        <f t="shared" si="3"/>
        <v>4</v>
      </c>
      <c r="Q87" s="1">
        <v>1</v>
      </c>
      <c r="R87" s="16">
        <v>1</v>
      </c>
      <c r="S87" s="16">
        <v>1</v>
      </c>
      <c r="T87" s="1">
        <v>1</v>
      </c>
      <c r="U87" s="1" t="s">
        <v>8</v>
      </c>
      <c r="V87" s="16">
        <f t="shared" si="4"/>
        <v>5</v>
      </c>
      <c r="W87" s="1">
        <v>1</v>
      </c>
      <c r="X87" s="16">
        <v>1</v>
      </c>
      <c r="Y87" s="16">
        <v>2</v>
      </c>
      <c r="Z87" s="16">
        <v>1</v>
      </c>
      <c r="AA87" s="16" t="s">
        <v>288</v>
      </c>
      <c r="AB87" s="16" t="s">
        <v>183</v>
      </c>
      <c r="AC87" t="s">
        <v>248</v>
      </c>
      <c r="AD87" s="20" t="s">
        <v>432</v>
      </c>
      <c r="AE87" s="4">
        <v>83.227931418470007</v>
      </c>
    </row>
    <row r="88" spans="1:31" x14ac:dyDescent="0.2">
      <c r="A88" s="6" t="s">
        <v>95</v>
      </c>
      <c r="B88" s="6" t="s">
        <v>161</v>
      </c>
      <c r="C88" s="7" t="s">
        <v>164</v>
      </c>
      <c r="D88" s="8" t="s">
        <v>7</v>
      </c>
      <c r="E88" s="8" t="s">
        <v>7</v>
      </c>
      <c r="F88" s="7" t="s">
        <v>8</v>
      </c>
      <c r="G88" s="9">
        <v>28.641326904296875</v>
      </c>
      <c r="H88" s="10">
        <v>19.550178527832031</v>
      </c>
      <c r="I88" s="11" t="s">
        <v>183</v>
      </c>
      <c r="J88" s="12">
        <v>20.116302490234375</v>
      </c>
      <c r="K88" s="13" t="s">
        <v>7</v>
      </c>
      <c r="L88" s="14" t="s">
        <v>7</v>
      </c>
      <c r="M88" s="15" t="s">
        <v>7</v>
      </c>
      <c r="N88" s="15" t="s">
        <v>7</v>
      </c>
      <c r="O88" s="16" t="s">
        <v>8</v>
      </c>
      <c r="P88" s="16">
        <f t="shared" si="3"/>
        <v>5</v>
      </c>
      <c r="Q88" s="1">
        <v>1</v>
      </c>
      <c r="R88" s="16">
        <v>1</v>
      </c>
      <c r="S88" s="16">
        <v>1</v>
      </c>
      <c r="T88" s="1">
        <v>2</v>
      </c>
      <c r="U88" s="1" t="s">
        <v>7</v>
      </c>
      <c r="V88" s="16">
        <f t="shared" si="4"/>
        <v>8</v>
      </c>
      <c r="W88" s="1">
        <v>1</v>
      </c>
      <c r="X88" s="16">
        <v>2</v>
      </c>
      <c r="Y88" s="16">
        <v>3</v>
      </c>
      <c r="Z88" s="16">
        <v>2</v>
      </c>
      <c r="AA88" s="16" t="s">
        <v>288</v>
      </c>
      <c r="AB88" s="16" t="s">
        <v>292</v>
      </c>
      <c r="AC88" t="s">
        <v>249</v>
      </c>
      <c r="AD88" s="20" t="s">
        <v>328</v>
      </c>
      <c r="AE88" s="4">
        <v>5491.5863030371502</v>
      </c>
    </row>
    <row r="89" spans="1:31" x14ac:dyDescent="0.2">
      <c r="A89" s="6" t="s">
        <v>96</v>
      </c>
      <c r="B89" s="6" t="s">
        <v>161</v>
      </c>
      <c r="C89" s="7" t="s">
        <v>164</v>
      </c>
      <c r="D89" s="8" t="s">
        <v>7</v>
      </c>
      <c r="E89" s="8" t="s">
        <v>7</v>
      </c>
      <c r="F89" s="7" t="s">
        <v>7</v>
      </c>
      <c r="G89" s="9">
        <v>26.593194961547852</v>
      </c>
      <c r="H89" s="10">
        <v>24.304347991943359</v>
      </c>
      <c r="I89" s="11" t="s">
        <v>183</v>
      </c>
      <c r="J89" s="12">
        <v>24.215986251831055</v>
      </c>
      <c r="K89" s="13" t="s">
        <v>7</v>
      </c>
      <c r="L89" s="14" t="s">
        <v>7</v>
      </c>
      <c r="M89" s="15" t="s">
        <v>7</v>
      </c>
      <c r="N89" s="15" t="s">
        <v>7</v>
      </c>
      <c r="O89" s="16" t="s">
        <v>8</v>
      </c>
      <c r="P89" s="16">
        <f t="shared" si="3"/>
        <v>3</v>
      </c>
      <c r="Q89" s="1">
        <v>0</v>
      </c>
      <c r="R89" s="16">
        <v>1</v>
      </c>
      <c r="S89" s="16">
        <v>1</v>
      </c>
      <c r="T89" s="1">
        <v>1</v>
      </c>
      <c r="U89" s="1" t="s">
        <v>8</v>
      </c>
      <c r="V89" s="16">
        <f t="shared" si="4"/>
        <v>5</v>
      </c>
      <c r="W89" s="1">
        <v>1</v>
      </c>
      <c r="X89" s="16">
        <v>1</v>
      </c>
      <c r="Y89" s="16">
        <v>2</v>
      </c>
      <c r="Z89" s="16">
        <v>1</v>
      </c>
      <c r="AA89" s="16" t="s">
        <v>288</v>
      </c>
      <c r="AB89" s="16" t="s">
        <v>183</v>
      </c>
      <c r="AC89" t="s">
        <v>250</v>
      </c>
      <c r="AD89" s="20" t="s">
        <v>332</v>
      </c>
      <c r="AE89" s="4">
        <v>35.685340537765001</v>
      </c>
    </row>
    <row r="90" spans="1:31" x14ac:dyDescent="0.2">
      <c r="A90" s="6" t="s">
        <v>97</v>
      </c>
      <c r="B90" s="6" t="s">
        <v>161</v>
      </c>
      <c r="C90" s="7" t="s">
        <v>164</v>
      </c>
      <c r="D90" s="8" t="s">
        <v>7</v>
      </c>
      <c r="E90" s="8" t="s">
        <v>7</v>
      </c>
      <c r="F90" s="7" t="s">
        <v>8</v>
      </c>
      <c r="G90" s="9">
        <v>19.113527297973633</v>
      </c>
      <c r="H90" s="10">
        <v>17.561313629150391</v>
      </c>
      <c r="I90" s="11" t="s">
        <v>183</v>
      </c>
      <c r="J90" s="12">
        <v>24.726352691650391</v>
      </c>
      <c r="K90" s="13" t="s">
        <v>7</v>
      </c>
      <c r="L90" s="14" t="s">
        <v>7</v>
      </c>
      <c r="M90" s="15" t="s">
        <v>7</v>
      </c>
      <c r="N90" s="15" t="s">
        <v>7</v>
      </c>
      <c r="O90" s="15" t="s">
        <v>7</v>
      </c>
      <c r="P90" s="16">
        <f t="shared" si="3"/>
        <v>4</v>
      </c>
      <c r="Q90" s="1">
        <v>1</v>
      </c>
      <c r="R90" s="16">
        <v>1</v>
      </c>
      <c r="S90" s="16">
        <v>1</v>
      </c>
      <c r="T90" s="1">
        <v>1</v>
      </c>
      <c r="U90" s="1" t="s">
        <v>8</v>
      </c>
      <c r="V90" s="16">
        <f t="shared" si="4"/>
        <v>4</v>
      </c>
      <c r="W90" s="1">
        <v>1</v>
      </c>
      <c r="X90" s="16">
        <v>1</v>
      </c>
      <c r="Y90" s="16">
        <v>1</v>
      </c>
      <c r="Z90" s="1">
        <v>1</v>
      </c>
      <c r="AA90" s="1" t="s">
        <v>289</v>
      </c>
      <c r="AB90" s="1" t="s">
        <v>183</v>
      </c>
      <c r="AC90" t="s">
        <v>251</v>
      </c>
      <c r="AD90" s="20" t="s">
        <v>327</v>
      </c>
      <c r="AE90" s="4">
        <v>15162.5860837279</v>
      </c>
    </row>
    <row r="91" spans="1:31" x14ac:dyDescent="0.2">
      <c r="A91" s="6" t="s">
        <v>98</v>
      </c>
      <c r="B91" s="6" t="s">
        <v>161</v>
      </c>
      <c r="C91" s="7" t="s">
        <v>164</v>
      </c>
      <c r="D91" s="8" t="s">
        <v>7</v>
      </c>
      <c r="E91" s="8" t="s">
        <v>7</v>
      </c>
      <c r="F91" s="7" t="s">
        <v>7</v>
      </c>
      <c r="G91" s="7">
        <v>0</v>
      </c>
      <c r="H91" s="10">
        <v>28.894441604614258</v>
      </c>
      <c r="I91" s="11" t="s">
        <v>184</v>
      </c>
      <c r="J91" s="12">
        <v>20.005487442016602</v>
      </c>
      <c r="K91" s="13" t="s">
        <v>7</v>
      </c>
      <c r="L91" s="14" t="s">
        <v>8</v>
      </c>
      <c r="M91" s="15" t="s">
        <v>8</v>
      </c>
      <c r="N91" s="15" t="s">
        <v>7</v>
      </c>
      <c r="O91" s="15" t="s">
        <v>8</v>
      </c>
      <c r="P91" s="16">
        <f t="shared" si="3"/>
        <v>2</v>
      </c>
      <c r="Q91" s="1">
        <v>0</v>
      </c>
      <c r="R91" s="16">
        <v>1</v>
      </c>
      <c r="S91" s="16">
        <v>1</v>
      </c>
      <c r="T91" s="16">
        <v>0</v>
      </c>
      <c r="U91" s="16" t="s">
        <v>8</v>
      </c>
      <c r="V91" s="16">
        <f t="shared" si="4"/>
        <v>5</v>
      </c>
      <c r="W91" s="1">
        <v>1</v>
      </c>
      <c r="X91" s="16">
        <v>1</v>
      </c>
      <c r="Y91" s="16">
        <v>2</v>
      </c>
      <c r="Z91" s="1">
        <v>1</v>
      </c>
      <c r="AA91" s="1" t="s">
        <v>288</v>
      </c>
      <c r="AB91" s="1" t="s">
        <v>184</v>
      </c>
      <c r="AC91" t="s">
        <v>252</v>
      </c>
      <c r="AD91" s="20" t="s">
        <v>350</v>
      </c>
      <c r="AE91" s="4">
        <v>206.78744415122699</v>
      </c>
    </row>
    <row r="92" spans="1:31" x14ac:dyDescent="0.2">
      <c r="A92" s="6" t="s">
        <v>99</v>
      </c>
      <c r="B92" s="6" t="s">
        <v>161</v>
      </c>
      <c r="C92" s="7" t="s">
        <v>164</v>
      </c>
      <c r="D92" s="8" t="s">
        <v>7</v>
      </c>
      <c r="E92" s="8" t="s">
        <v>7</v>
      </c>
      <c r="F92" s="7" t="s">
        <v>8</v>
      </c>
      <c r="G92" s="9">
        <v>15.43083667755127</v>
      </c>
      <c r="H92" s="10">
        <v>13.647868156433105</v>
      </c>
      <c r="I92" s="11" t="s">
        <v>183</v>
      </c>
      <c r="J92" s="12">
        <v>21.710317611694336</v>
      </c>
      <c r="K92" s="13" t="s">
        <v>7</v>
      </c>
      <c r="L92" s="14" t="s">
        <v>7</v>
      </c>
      <c r="M92" s="15" t="s">
        <v>7</v>
      </c>
      <c r="N92" s="15" t="s">
        <v>7</v>
      </c>
      <c r="O92" s="15" t="s">
        <v>7</v>
      </c>
      <c r="P92" s="16">
        <f t="shared" si="3"/>
        <v>4</v>
      </c>
      <c r="Q92" s="1">
        <v>1</v>
      </c>
      <c r="R92" s="16">
        <v>1</v>
      </c>
      <c r="S92" s="16">
        <v>1</v>
      </c>
      <c r="T92" s="1">
        <v>1</v>
      </c>
      <c r="U92" s="1" t="s">
        <v>8</v>
      </c>
      <c r="V92" s="16">
        <f t="shared" si="4"/>
        <v>5</v>
      </c>
      <c r="W92" s="1">
        <v>1</v>
      </c>
      <c r="X92" s="16">
        <v>1</v>
      </c>
      <c r="Y92" s="16">
        <v>2</v>
      </c>
      <c r="Z92" s="1">
        <v>1</v>
      </c>
      <c r="AA92" s="1" t="s">
        <v>288</v>
      </c>
      <c r="AB92" s="1" t="s">
        <v>183</v>
      </c>
      <c r="AC92" t="s">
        <v>253</v>
      </c>
      <c r="AD92" s="20" t="s">
        <v>353</v>
      </c>
      <c r="AE92" s="4">
        <v>12582.5245787927</v>
      </c>
    </row>
    <row r="93" spans="1:31" x14ac:dyDescent="0.2">
      <c r="A93" s="6" t="s">
        <v>100</v>
      </c>
      <c r="B93" s="6" t="s">
        <v>161</v>
      </c>
      <c r="C93" s="7" t="s">
        <v>164</v>
      </c>
      <c r="D93" s="8" t="s">
        <v>7</v>
      </c>
      <c r="E93" s="8" t="s">
        <v>7</v>
      </c>
      <c r="F93" s="7" t="s">
        <v>8</v>
      </c>
      <c r="G93" s="9">
        <v>30.821685791015625</v>
      </c>
      <c r="H93" s="10">
        <v>19.70277214050293</v>
      </c>
      <c r="I93" s="11" t="s">
        <v>184</v>
      </c>
      <c r="J93" s="12">
        <v>20.923379898071289</v>
      </c>
      <c r="K93" s="13" t="s">
        <v>7</v>
      </c>
      <c r="L93" s="14" t="s">
        <v>8</v>
      </c>
      <c r="M93" s="15" t="s">
        <v>10</v>
      </c>
      <c r="N93" s="15" t="s">
        <v>7</v>
      </c>
      <c r="O93" s="16" t="s">
        <v>8</v>
      </c>
      <c r="P93" s="16">
        <f t="shared" si="3"/>
        <v>3</v>
      </c>
      <c r="Q93" s="1">
        <v>1</v>
      </c>
      <c r="R93" s="16">
        <v>1</v>
      </c>
      <c r="S93" s="16">
        <v>1</v>
      </c>
      <c r="T93" s="16">
        <v>0</v>
      </c>
      <c r="U93" s="16" t="s">
        <v>8</v>
      </c>
      <c r="V93" s="16">
        <f t="shared" si="4"/>
        <v>3</v>
      </c>
      <c r="W93" s="1">
        <v>1</v>
      </c>
      <c r="X93" s="16">
        <v>1</v>
      </c>
      <c r="Y93" s="16">
        <v>1</v>
      </c>
      <c r="Z93" s="16">
        <v>0</v>
      </c>
      <c r="AA93" s="16" t="s">
        <v>289</v>
      </c>
      <c r="AB93" s="16" t="s">
        <v>184</v>
      </c>
      <c r="AC93" t="s">
        <v>258</v>
      </c>
      <c r="AD93" s="20" t="s">
        <v>348</v>
      </c>
      <c r="AE93" s="4">
        <v>3059.1000731437298</v>
      </c>
    </row>
    <row r="94" spans="1:31" x14ac:dyDescent="0.2">
      <c r="A94" s="6" t="s">
        <v>101</v>
      </c>
      <c r="B94" s="6" t="s">
        <v>161</v>
      </c>
      <c r="C94" s="7" t="s">
        <v>164</v>
      </c>
      <c r="D94" s="8" t="s">
        <v>7</v>
      </c>
      <c r="E94" s="8" t="s">
        <v>7</v>
      </c>
      <c r="F94" s="7" t="s">
        <v>8</v>
      </c>
      <c r="G94" s="9">
        <v>15.809910774230957</v>
      </c>
      <c r="H94" s="10">
        <v>15.928494453430176</v>
      </c>
      <c r="I94" s="11" t="s">
        <v>183</v>
      </c>
      <c r="J94" s="12">
        <v>22.256006240844727</v>
      </c>
      <c r="K94" s="13" t="s">
        <v>7</v>
      </c>
      <c r="L94" s="14" t="s">
        <v>7</v>
      </c>
      <c r="M94" s="15" t="s">
        <v>7</v>
      </c>
      <c r="N94" s="15" t="s">
        <v>7</v>
      </c>
      <c r="O94" s="15" t="s">
        <v>7</v>
      </c>
      <c r="P94" s="16">
        <f t="shared" si="3"/>
        <v>4</v>
      </c>
      <c r="Q94" s="1">
        <v>1</v>
      </c>
      <c r="R94" s="16">
        <v>1</v>
      </c>
      <c r="S94" s="16">
        <v>1</v>
      </c>
      <c r="T94" s="1">
        <v>1</v>
      </c>
      <c r="U94" s="1" t="s">
        <v>8</v>
      </c>
      <c r="V94" s="16">
        <f t="shared" si="4"/>
        <v>4</v>
      </c>
      <c r="W94" s="1">
        <v>1</v>
      </c>
      <c r="X94" s="16">
        <v>1</v>
      </c>
      <c r="Y94" s="16">
        <v>1</v>
      </c>
      <c r="Z94" s="1">
        <v>1</v>
      </c>
      <c r="AA94" s="1" t="s">
        <v>289</v>
      </c>
      <c r="AB94" s="1" t="s">
        <v>183</v>
      </c>
      <c r="AC94" t="s">
        <v>259</v>
      </c>
      <c r="AD94" s="20" t="s">
        <v>352</v>
      </c>
      <c r="AE94" s="4">
        <v>12009.356449340299</v>
      </c>
    </row>
    <row r="95" spans="1:31" x14ac:dyDescent="0.2">
      <c r="A95" s="6" t="s">
        <v>102</v>
      </c>
      <c r="B95" s="6" t="s">
        <v>161</v>
      </c>
      <c r="C95" s="7" t="s">
        <v>164</v>
      </c>
      <c r="D95" s="8" t="s">
        <v>7</v>
      </c>
      <c r="E95" s="8" t="s">
        <v>7</v>
      </c>
      <c r="F95" s="7" t="s">
        <v>7</v>
      </c>
      <c r="G95" s="9">
        <v>27.780387878417969</v>
      </c>
      <c r="H95" s="10">
        <v>27.111026763916016</v>
      </c>
      <c r="I95" s="11" t="s">
        <v>183</v>
      </c>
      <c r="J95" s="12">
        <v>19.45030403137207</v>
      </c>
      <c r="K95" s="13" t="s">
        <v>7</v>
      </c>
      <c r="L95" s="14" t="s">
        <v>8</v>
      </c>
      <c r="M95" s="15" t="s">
        <v>8</v>
      </c>
      <c r="N95" s="15" t="s">
        <v>7</v>
      </c>
      <c r="O95" s="16" t="s">
        <v>8</v>
      </c>
      <c r="P95" s="16">
        <f t="shared" si="3"/>
        <v>0</v>
      </c>
      <c r="Q95" s="16">
        <v>0</v>
      </c>
      <c r="R95" s="16">
        <v>0</v>
      </c>
      <c r="S95" s="16">
        <v>0</v>
      </c>
      <c r="T95" s="16">
        <v>0</v>
      </c>
      <c r="U95" s="16" t="s">
        <v>10</v>
      </c>
      <c r="V95" s="16">
        <f t="shared" si="4"/>
        <v>4</v>
      </c>
      <c r="W95" s="16">
        <v>1</v>
      </c>
      <c r="X95" s="16">
        <v>1</v>
      </c>
      <c r="Y95" s="16">
        <v>1</v>
      </c>
      <c r="Z95" s="16">
        <v>1</v>
      </c>
      <c r="AA95" s="16" t="s">
        <v>289</v>
      </c>
      <c r="AB95" s="16" t="s">
        <v>10</v>
      </c>
      <c r="AD95" s="20" t="s">
        <v>382</v>
      </c>
      <c r="AE95" s="4">
        <v>2.9345014120116502</v>
      </c>
    </row>
    <row r="96" spans="1:31" x14ac:dyDescent="0.2">
      <c r="A96" s="6" t="s">
        <v>103</v>
      </c>
      <c r="B96" s="6" t="s">
        <v>161</v>
      </c>
      <c r="C96" s="7" t="s">
        <v>164</v>
      </c>
      <c r="D96" s="8" t="s">
        <v>7</v>
      </c>
      <c r="E96" s="8" t="s">
        <v>7</v>
      </c>
      <c r="F96" s="7" t="s">
        <v>8</v>
      </c>
      <c r="G96" s="9">
        <v>27.568275451660156</v>
      </c>
      <c r="H96" s="10">
        <v>19.065677642822266</v>
      </c>
      <c r="I96" s="11" t="s">
        <v>183</v>
      </c>
      <c r="J96" s="12">
        <v>18.497718811035156</v>
      </c>
      <c r="K96" s="13" t="s">
        <v>7</v>
      </c>
      <c r="L96" s="14" t="s">
        <v>8</v>
      </c>
      <c r="M96" s="15" t="s">
        <v>10</v>
      </c>
      <c r="N96" s="15" t="s">
        <v>7</v>
      </c>
      <c r="O96" s="15" t="s">
        <v>7</v>
      </c>
      <c r="P96" s="16">
        <f t="shared" si="3"/>
        <v>3</v>
      </c>
      <c r="Q96" s="1">
        <v>1</v>
      </c>
      <c r="R96" s="16">
        <v>1</v>
      </c>
      <c r="S96" s="16">
        <v>1</v>
      </c>
      <c r="T96" s="16">
        <v>0</v>
      </c>
      <c r="U96" s="16" t="s">
        <v>8</v>
      </c>
      <c r="V96" s="16">
        <f t="shared" si="4"/>
        <v>4</v>
      </c>
      <c r="W96" s="16">
        <v>1</v>
      </c>
      <c r="X96" s="16">
        <v>2</v>
      </c>
      <c r="Y96" s="16">
        <v>1</v>
      </c>
      <c r="Z96" s="16">
        <v>0</v>
      </c>
      <c r="AA96" s="16" t="s">
        <v>288</v>
      </c>
      <c r="AB96" s="16" t="s">
        <v>184</v>
      </c>
      <c r="AC96" t="s">
        <v>260</v>
      </c>
      <c r="AD96" s="20" t="s">
        <v>384</v>
      </c>
      <c r="AE96" s="4">
        <v>3291.81390900714</v>
      </c>
    </row>
    <row r="97" spans="1:31" x14ac:dyDescent="0.2">
      <c r="A97" s="6" t="s">
        <v>104</v>
      </c>
      <c r="B97" s="6" t="s">
        <v>161</v>
      </c>
      <c r="C97" s="7" t="s">
        <v>164</v>
      </c>
      <c r="D97" s="8" t="s">
        <v>7</v>
      </c>
      <c r="E97" s="8" t="s">
        <v>7</v>
      </c>
      <c r="F97" s="7" t="s">
        <v>8</v>
      </c>
      <c r="G97" s="9">
        <v>29.613161087036133</v>
      </c>
      <c r="H97" s="10">
        <v>19.867565155029297</v>
      </c>
      <c r="I97" s="11" t="s">
        <v>183</v>
      </c>
      <c r="J97" s="12">
        <v>22.790994644165039</v>
      </c>
      <c r="K97" s="13" t="s">
        <v>7</v>
      </c>
      <c r="L97" s="14" t="s">
        <v>8</v>
      </c>
      <c r="M97" s="15" t="s">
        <v>8</v>
      </c>
      <c r="N97" s="15" t="s">
        <v>7</v>
      </c>
      <c r="O97" s="16" t="s">
        <v>7</v>
      </c>
      <c r="P97" s="16">
        <f t="shared" si="3"/>
        <v>3</v>
      </c>
      <c r="Q97" s="1">
        <v>1</v>
      </c>
      <c r="R97" s="16">
        <v>1</v>
      </c>
      <c r="S97" s="16">
        <v>1</v>
      </c>
      <c r="T97" s="16">
        <v>0</v>
      </c>
      <c r="U97" s="16" t="s">
        <v>8</v>
      </c>
      <c r="V97" s="16">
        <f t="shared" si="4"/>
        <v>5</v>
      </c>
      <c r="W97" s="16">
        <v>1</v>
      </c>
      <c r="X97" s="16">
        <v>1</v>
      </c>
      <c r="Y97" s="16">
        <v>2</v>
      </c>
      <c r="Z97" s="16">
        <v>1</v>
      </c>
      <c r="AA97" s="16" t="s">
        <v>288</v>
      </c>
      <c r="AB97" s="16" t="s">
        <v>184</v>
      </c>
      <c r="AC97" t="s">
        <v>261</v>
      </c>
      <c r="AD97" s="20" t="s">
        <v>378</v>
      </c>
      <c r="AE97" s="4">
        <v>3262.84294023642</v>
      </c>
    </row>
    <row r="98" spans="1:31" x14ac:dyDescent="0.2">
      <c r="A98" s="6" t="s">
        <v>105</v>
      </c>
      <c r="B98" s="6" t="s">
        <v>161</v>
      </c>
      <c r="C98" s="7" t="s">
        <v>164</v>
      </c>
      <c r="D98" s="8" t="s">
        <v>7</v>
      </c>
      <c r="E98" s="8" t="s">
        <v>7</v>
      </c>
      <c r="F98" s="7" t="s">
        <v>8</v>
      </c>
      <c r="G98" s="9">
        <v>27.079105377197266</v>
      </c>
      <c r="H98" s="10">
        <v>23.091428756713867</v>
      </c>
      <c r="I98" s="11" t="s">
        <v>183</v>
      </c>
      <c r="J98" s="12">
        <v>21.530197143554688</v>
      </c>
      <c r="K98" s="13" t="s">
        <v>7</v>
      </c>
      <c r="L98" s="14" t="s">
        <v>8</v>
      </c>
      <c r="M98" s="15" t="s">
        <v>10</v>
      </c>
      <c r="N98" s="15" t="s">
        <v>7</v>
      </c>
      <c r="O98" s="15" t="s">
        <v>7</v>
      </c>
      <c r="P98" s="16">
        <f t="shared" ref="P98:P123" si="5">SUM(Q98:T98)</f>
        <v>3</v>
      </c>
      <c r="Q98" s="1">
        <v>1</v>
      </c>
      <c r="R98" s="16">
        <v>1</v>
      </c>
      <c r="S98" s="16">
        <v>1</v>
      </c>
      <c r="T98" s="16">
        <v>0</v>
      </c>
      <c r="U98" s="16" t="s">
        <v>8</v>
      </c>
      <c r="V98" s="16">
        <f t="shared" si="4"/>
        <v>4</v>
      </c>
      <c r="W98" s="16">
        <v>1</v>
      </c>
      <c r="X98" s="16">
        <v>2</v>
      </c>
      <c r="Y98" s="16">
        <v>1</v>
      </c>
      <c r="Z98" s="16">
        <v>0</v>
      </c>
      <c r="AA98" s="16" t="s">
        <v>288</v>
      </c>
      <c r="AB98" s="16" t="s">
        <v>184</v>
      </c>
      <c r="AC98" t="s">
        <v>262</v>
      </c>
      <c r="AD98" s="20" t="s">
        <v>359</v>
      </c>
      <c r="AE98" s="4">
        <v>1268.5737859707799</v>
      </c>
    </row>
    <row r="99" spans="1:31" x14ac:dyDescent="0.2">
      <c r="A99" s="6" t="s">
        <v>106</v>
      </c>
      <c r="B99" s="6" t="s">
        <v>161</v>
      </c>
      <c r="C99" s="7" t="s">
        <v>164</v>
      </c>
      <c r="D99" s="8" t="s">
        <v>7</v>
      </c>
      <c r="E99" s="8" t="s">
        <v>7</v>
      </c>
      <c r="F99" s="7" t="s">
        <v>8</v>
      </c>
      <c r="G99" s="9">
        <v>30.286174774169922</v>
      </c>
      <c r="H99" s="10">
        <v>20.410749435424805</v>
      </c>
      <c r="I99" s="11" t="s">
        <v>184</v>
      </c>
      <c r="J99" s="12">
        <v>18.890800476074219</v>
      </c>
      <c r="K99" s="13" t="s">
        <v>7</v>
      </c>
      <c r="L99" s="14" t="s">
        <v>8</v>
      </c>
      <c r="M99" s="15" t="s">
        <v>10</v>
      </c>
      <c r="N99" s="15" t="s">
        <v>7</v>
      </c>
      <c r="O99" s="15" t="s">
        <v>7</v>
      </c>
      <c r="P99" s="16">
        <f t="shared" si="5"/>
        <v>3</v>
      </c>
      <c r="Q99" s="1">
        <v>1</v>
      </c>
      <c r="R99" s="16">
        <v>1</v>
      </c>
      <c r="S99" s="16">
        <v>1</v>
      </c>
      <c r="T99" s="16">
        <v>0</v>
      </c>
      <c r="U99" s="16" t="s">
        <v>8</v>
      </c>
      <c r="V99" s="16">
        <f t="shared" si="4"/>
        <v>3</v>
      </c>
      <c r="W99" s="1">
        <v>1</v>
      </c>
      <c r="X99" s="16">
        <v>1</v>
      </c>
      <c r="Y99" s="16">
        <v>1</v>
      </c>
      <c r="Z99" s="16">
        <v>0</v>
      </c>
      <c r="AA99" s="16" t="s">
        <v>289</v>
      </c>
      <c r="AB99" s="16" t="s">
        <v>184</v>
      </c>
      <c r="AC99" t="s">
        <v>263</v>
      </c>
      <c r="AD99" s="20" t="s">
        <v>380</v>
      </c>
      <c r="AE99" s="4">
        <v>8923.7124158265196</v>
      </c>
    </row>
    <row r="100" spans="1:31" x14ac:dyDescent="0.2">
      <c r="A100" s="6" t="s">
        <v>107</v>
      </c>
      <c r="B100" s="6" t="s">
        <v>161</v>
      </c>
      <c r="C100" s="7" t="s">
        <v>164</v>
      </c>
      <c r="D100" s="8" t="s">
        <v>7</v>
      </c>
      <c r="E100" s="8" t="s">
        <v>7</v>
      </c>
      <c r="F100" s="7" t="s">
        <v>8</v>
      </c>
      <c r="G100" s="9">
        <v>19.274736404418945</v>
      </c>
      <c r="H100" s="10">
        <v>16.39472770690918</v>
      </c>
      <c r="I100" s="11" t="s">
        <v>183</v>
      </c>
      <c r="J100" s="12">
        <v>22.249679565429688</v>
      </c>
      <c r="K100" s="13" t="s">
        <v>7</v>
      </c>
      <c r="L100" s="14" t="s">
        <v>7</v>
      </c>
      <c r="M100" s="15" t="s">
        <v>7</v>
      </c>
      <c r="N100" s="15" t="s">
        <v>7</v>
      </c>
      <c r="O100" s="15" t="s">
        <v>7</v>
      </c>
      <c r="P100" s="16">
        <f t="shared" si="5"/>
        <v>5</v>
      </c>
      <c r="Q100" s="1">
        <v>1</v>
      </c>
      <c r="R100" s="1">
        <v>1</v>
      </c>
      <c r="S100" s="1">
        <v>1</v>
      </c>
      <c r="T100" s="1">
        <v>2</v>
      </c>
      <c r="U100" s="1" t="s">
        <v>7</v>
      </c>
      <c r="V100" s="16">
        <f t="shared" si="4"/>
        <v>6</v>
      </c>
      <c r="W100" s="1">
        <v>1</v>
      </c>
      <c r="X100" s="16">
        <v>1</v>
      </c>
      <c r="Y100" s="16">
        <v>2</v>
      </c>
      <c r="Z100" s="16">
        <v>2</v>
      </c>
      <c r="AA100" s="16" t="s">
        <v>288</v>
      </c>
      <c r="AB100" s="16" t="s">
        <v>183</v>
      </c>
      <c r="AC100" t="s">
        <v>254</v>
      </c>
      <c r="AD100" s="20" t="s">
        <v>365</v>
      </c>
      <c r="AE100" s="4">
        <v>11838.558220610599</v>
      </c>
    </row>
    <row r="101" spans="1:31" x14ac:dyDescent="0.2">
      <c r="A101" s="6" t="s">
        <v>108</v>
      </c>
      <c r="B101" s="6" t="s">
        <v>161</v>
      </c>
      <c r="C101" s="7" t="s">
        <v>164</v>
      </c>
      <c r="D101" s="8" t="s">
        <v>7</v>
      </c>
      <c r="E101" s="8" t="s">
        <v>7</v>
      </c>
      <c r="F101" s="7" t="s">
        <v>8</v>
      </c>
      <c r="G101" s="9">
        <v>29.278375625610352</v>
      </c>
      <c r="H101" s="10">
        <v>19.81370735168457</v>
      </c>
      <c r="I101" s="11" t="s">
        <v>183</v>
      </c>
      <c r="J101" s="12">
        <v>19.487062454223633</v>
      </c>
      <c r="K101" s="13" t="s">
        <v>7</v>
      </c>
      <c r="L101" s="14" t="s">
        <v>8</v>
      </c>
      <c r="M101" s="15" t="s">
        <v>8</v>
      </c>
      <c r="N101" s="15" t="s">
        <v>7</v>
      </c>
      <c r="O101" s="15" t="s">
        <v>7</v>
      </c>
      <c r="P101" s="16">
        <f t="shared" si="5"/>
        <v>3</v>
      </c>
      <c r="Q101" s="1">
        <v>1</v>
      </c>
      <c r="R101" s="1">
        <v>1</v>
      </c>
      <c r="S101" s="1">
        <v>1</v>
      </c>
      <c r="T101" s="1">
        <v>0</v>
      </c>
      <c r="U101" s="1" t="s">
        <v>8</v>
      </c>
      <c r="V101" s="16">
        <f t="shared" si="4"/>
        <v>4</v>
      </c>
      <c r="W101" s="1">
        <v>1</v>
      </c>
      <c r="X101" s="1">
        <v>1</v>
      </c>
      <c r="Y101" s="1">
        <v>1</v>
      </c>
      <c r="Z101" s="1">
        <v>1</v>
      </c>
      <c r="AA101" s="1" t="s">
        <v>289</v>
      </c>
      <c r="AB101" s="1" t="s">
        <v>184</v>
      </c>
      <c r="AC101" t="s">
        <v>264</v>
      </c>
      <c r="AD101" s="20" t="s">
        <v>383</v>
      </c>
      <c r="AE101" s="4">
        <v>2589.5305911749801</v>
      </c>
    </row>
    <row r="102" spans="1:31" x14ac:dyDescent="0.2">
      <c r="A102" s="6" t="s">
        <v>109</v>
      </c>
      <c r="B102" s="6" t="s">
        <v>161</v>
      </c>
      <c r="C102" s="6" t="s">
        <v>166</v>
      </c>
      <c r="D102" s="8" t="s">
        <v>7</v>
      </c>
      <c r="E102" s="8" t="s">
        <v>7</v>
      </c>
      <c r="F102" s="7" t="s">
        <v>8</v>
      </c>
      <c r="G102" s="9">
        <v>26.39097785949707</v>
      </c>
      <c r="H102" s="10">
        <v>22.326189041137695</v>
      </c>
      <c r="I102" s="11" t="s">
        <v>183</v>
      </c>
      <c r="J102" s="12">
        <v>21.33843994140625</v>
      </c>
      <c r="K102" s="13" t="s">
        <v>7</v>
      </c>
      <c r="L102" s="14" t="s">
        <v>7</v>
      </c>
      <c r="M102" s="15" t="s">
        <v>7</v>
      </c>
      <c r="N102" s="15" t="s">
        <v>7</v>
      </c>
      <c r="O102" s="15" t="s">
        <v>7</v>
      </c>
      <c r="P102" s="16">
        <f t="shared" si="5"/>
        <v>4</v>
      </c>
      <c r="Q102" s="32">
        <v>1</v>
      </c>
      <c r="R102" s="1">
        <v>1</v>
      </c>
      <c r="S102" s="1">
        <v>1</v>
      </c>
      <c r="T102" s="1">
        <v>1</v>
      </c>
      <c r="U102" s="1" t="s">
        <v>8</v>
      </c>
      <c r="V102" s="16">
        <f t="shared" si="4"/>
        <v>5</v>
      </c>
      <c r="W102" s="1">
        <v>1</v>
      </c>
      <c r="X102" s="1">
        <v>1</v>
      </c>
      <c r="Y102" s="1">
        <v>2</v>
      </c>
      <c r="Z102" s="1">
        <v>1</v>
      </c>
      <c r="AA102" s="1" t="s">
        <v>288</v>
      </c>
      <c r="AB102" s="1" t="s">
        <v>183</v>
      </c>
      <c r="AC102" t="s">
        <v>284</v>
      </c>
      <c r="AD102" s="20" t="s">
        <v>356</v>
      </c>
      <c r="AE102" s="4">
        <v>702.88536846407999</v>
      </c>
    </row>
    <row r="103" spans="1:31" x14ac:dyDescent="0.2">
      <c r="A103" s="6" t="s">
        <v>110</v>
      </c>
      <c r="B103" s="6" t="s">
        <v>161</v>
      </c>
      <c r="C103" s="6" t="s">
        <v>164</v>
      </c>
      <c r="D103" s="8" t="s">
        <v>7</v>
      </c>
      <c r="E103" s="8" t="s">
        <v>7</v>
      </c>
      <c r="F103" s="7" t="s">
        <v>8</v>
      </c>
      <c r="G103" s="9">
        <v>30.284736633300781</v>
      </c>
      <c r="H103" s="10">
        <v>20.61224365234375</v>
      </c>
      <c r="I103" s="11" t="s">
        <v>184</v>
      </c>
      <c r="J103" s="12">
        <v>19.830377578735352</v>
      </c>
      <c r="K103" s="13" t="s">
        <v>7</v>
      </c>
      <c r="L103" s="14" t="s">
        <v>8</v>
      </c>
      <c r="M103" s="15" t="s">
        <v>10</v>
      </c>
      <c r="N103" s="15" t="s">
        <v>7</v>
      </c>
      <c r="O103" s="15" t="s">
        <v>7</v>
      </c>
      <c r="P103" s="16">
        <f t="shared" si="5"/>
        <v>3</v>
      </c>
      <c r="Q103" s="1">
        <v>1</v>
      </c>
      <c r="R103" s="1">
        <v>1</v>
      </c>
      <c r="S103" s="1">
        <v>1</v>
      </c>
      <c r="T103" s="1">
        <v>0</v>
      </c>
      <c r="U103" s="1" t="s">
        <v>8</v>
      </c>
      <c r="V103" s="16">
        <f t="shared" si="4"/>
        <v>4</v>
      </c>
      <c r="W103" s="1">
        <v>1</v>
      </c>
      <c r="X103" s="1">
        <v>2</v>
      </c>
      <c r="Y103" s="1">
        <v>1</v>
      </c>
      <c r="Z103" s="1">
        <v>0</v>
      </c>
      <c r="AA103" s="1" t="s">
        <v>288</v>
      </c>
      <c r="AB103" s="1" t="s">
        <v>184</v>
      </c>
      <c r="AC103" t="s">
        <v>255</v>
      </c>
      <c r="AD103" s="20" t="s">
        <v>361</v>
      </c>
      <c r="AE103" s="4">
        <v>2168.0988336995201</v>
      </c>
    </row>
    <row r="104" spans="1:31" x14ac:dyDescent="0.2">
      <c r="A104" s="6" t="s">
        <v>111</v>
      </c>
      <c r="B104" s="6" t="s">
        <v>161</v>
      </c>
      <c r="C104" s="6" t="s">
        <v>164</v>
      </c>
      <c r="D104" s="8" t="s">
        <v>7</v>
      </c>
      <c r="E104" s="8" t="s">
        <v>7</v>
      </c>
      <c r="F104" s="7" t="s">
        <v>8</v>
      </c>
      <c r="G104" s="9">
        <v>24.690008163452148</v>
      </c>
      <c r="H104" s="10">
        <v>17.871177673339844</v>
      </c>
      <c r="I104" s="11" t="s">
        <v>183</v>
      </c>
      <c r="J104" s="12">
        <v>23.450597763061523</v>
      </c>
      <c r="K104" s="13" t="s">
        <v>7</v>
      </c>
      <c r="L104" s="14" t="s">
        <v>8</v>
      </c>
      <c r="M104" s="15" t="s">
        <v>10</v>
      </c>
      <c r="N104" s="15" t="s">
        <v>7</v>
      </c>
      <c r="O104" s="15" t="s">
        <v>7</v>
      </c>
      <c r="P104" s="16">
        <f t="shared" si="5"/>
        <v>3</v>
      </c>
      <c r="Q104" s="1">
        <v>1</v>
      </c>
      <c r="R104" s="1">
        <v>1</v>
      </c>
      <c r="S104" s="1">
        <v>1</v>
      </c>
      <c r="T104" s="1">
        <v>0</v>
      </c>
      <c r="U104" s="1" t="s">
        <v>8</v>
      </c>
      <c r="V104" s="16">
        <f t="shared" si="4"/>
        <v>3</v>
      </c>
      <c r="W104" s="1">
        <v>1</v>
      </c>
      <c r="X104" s="1">
        <v>1</v>
      </c>
      <c r="Y104" s="1">
        <v>1</v>
      </c>
      <c r="Z104" s="1">
        <v>0</v>
      </c>
      <c r="AA104" s="1" t="s">
        <v>289</v>
      </c>
      <c r="AB104" s="1" t="s">
        <v>184</v>
      </c>
      <c r="AC104" t="s">
        <v>256</v>
      </c>
      <c r="AD104" s="20" t="s">
        <v>355</v>
      </c>
      <c r="AE104" s="5">
        <v>5739.6455617541396</v>
      </c>
    </row>
    <row r="105" spans="1:31" x14ac:dyDescent="0.2">
      <c r="A105" s="6" t="s">
        <v>112</v>
      </c>
      <c r="B105" s="6" t="s">
        <v>161</v>
      </c>
      <c r="C105" s="6" t="s">
        <v>164</v>
      </c>
      <c r="D105" s="8" t="s">
        <v>7</v>
      </c>
      <c r="E105" s="8" t="s">
        <v>7</v>
      </c>
      <c r="F105" s="7" t="s">
        <v>8</v>
      </c>
      <c r="G105" s="9">
        <v>26.762130737304688</v>
      </c>
      <c r="H105" s="10">
        <v>19.456094741821289</v>
      </c>
      <c r="I105" s="11" t="s">
        <v>183</v>
      </c>
      <c r="J105" s="12">
        <v>19.128326416015625</v>
      </c>
      <c r="K105" s="13" t="s">
        <v>7</v>
      </c>
      <c r="L105" s="14" t="s">
        <v>7</v>
      </c>
      <c r="M105" s="15" t="s">
        <v>7</v>
      </c>
      <c r="N105" s="15" t="s">
        <v>7</v>
      </c>
      <c r="O105" s="15" t="s">
        <v>7</v>
      </c>
      <c r="P105" s="16">
        <f t="shared" si="5"/>
        <v>7</v>
      </c>
      <c r="Q105" s="1">
        <v>2</v>
      </c>
      <c r="R105" s="1">
        <v>2</v>
      </c>
      <c r="S105" s="1">
        <v>2</v>
      </c>
      <c r="T105" s="1">
        <v>1</v>
      </c>
      <c r="U105" s="1" t="s">
        <v>7</v>
      </c>
      <c r="V105" s="16">
        <f t="shared" si="4"/>
        <v>7</v>
      </c>
      <c r="W105" s="1">
        <v>2</v>
      </c>
      <c r="X105" s="1">
        <v>2</v>
      </c>
      <c r="Y105" s="1">
        <v>2</v>
      </c>
      <c r="Z105" s="1">
        <v>1</v>
      </c>
      <c r="AA105" s="1" t="s">
        <v>288</v>
      </c>
      <c r="AB105" s="1" t="s">
        <v>292</v>
      </c>
      <c r="AC105" t="s">
        <v>257</v>
      </c>
      <c r="AD105" s="20" t="s">
        <v>387</v>
      </c>
      <c r="AE105" s="4">
        <v>3142.70995383948</v>
      </c>
    </row>
    <row r="106" spans="1:31" x14ac:dyDescent="0.2">
      <c r="A106" s="6" t="s">
        <v>113</v>
      </c>
      <c r="B106" s="6" t="s">
        <v>161</v>
      </c>
      <c r="C106" s="6" t="s">
        <v>164</v>
      </c>
      <c r="D106" s="8" t="s">
        <v>7</v>
      </c>
      <c r="E106" s="8" t="s">
        <v>7</v>
      </c>
      <c r="F106" s="7" t="s">
        <v>8</v>
      </c>
      <c r="G106" s="9">
        <v>24.590238571166992</v>
      </c>
      <c r="H106" s="10">
        <v>22.794321060180664</v>
      </c>
      <c r="I106" s="11" t="s">
        <v>183</v>
      </c>
      <c r="J106" s="12">
        <v>19.594181060791016</v>
      </c>
      <c r="K106" s="13" t="s">
        <v>7</v>
      </c>
      <c r="L106" s="14" t="s">
        <v>7</v>
      </c>
      <c r="M106" s="15" t="s">
        <v>7</v>
      </c>
      <c r="N106" s="15" t="s">
        <v>7</v>
      </c>
      <c r="O106" s="15" t="s">
        <v>8</v>
      </c>
      <c r="P106" s="16">
        <f t="shared" si="5"/>
        <v>3</v>
      </c>
      <c r="Q106" s="1">
        <v>1</v>
      </c>
      <c r="R106" s="1">
        <v>1</v>
      </c>
      <c r="S106" s="1">
        <v>1</v>
      </c>
      <c r="T106" s="1">
        <v>0</v>
      </c>
      <c r="U106" s="1" t="s">
        <v>8</v>
      </c>
      <c r="V106" s="16">
        <f t="shared" si="4"/>
        <v>6</v>
      </c>
      <c r="W106" s="1">
        <v>1</v>
      </c>
      <c r="X106" s="1">
        <v>1</v>
      </c>
      <c r="Y106" s="1">
        <v>2</v>
      </c>
      <c r="Z106" s="1">
        <v>2</v>
      </c>
      <c r="AA106" s="1" t="s">
        <v>288</v>
      </c>
      <c r="AB106" s="1" t="s">
        <v>183</v>
      </c>
      <c r="AC106" t="s">
        <v>472</v>
      </c>
      <c r="AD106" s="20" t="s">
        <v>374</v>
      </c>
      <c r="AE106" s="4">
        <v>26.198768808912501</v>
      </c>
    </row>
    <row r="107" spans="1:31" x14ac:dyDescent="0.2">
      <c r="A107" s="6" t="s">
        <v>114</v>
      </c>
      <c r="B107" s="6" t="s">
        <v>161</v>
      </c>
      <c r="C107" s="6" t="s">
        <v>164</v>
      </c>
      <c r="D107" s="8" t="s">
        <v>7</v>
      </c>
      <c r="E107" s="8" t="s">
        <v>8</v>
      </c>
      <c r="F107" s="7" t="s">
        <v>7</v>
      </c>
      <c r="G107" s="9">
        <v>33.384731292724609</v>
      </c>
      <c r="H107" s="10">
        <v>27.358892440795898</v>
      </c>
      <c r="I107" s="11" t="s">
        <v>184</v>
      </c>
      <c r="J107" s="12">
        <v>20.835861206054688</v>
      </c>
      <c r="K107" s="13" t="s">
        <v>7</v>
      </c>
      <c r="L107" s="14" t="s">
        <v>8</v>
      </c>
      <c r="M107" s="15" t="s">
        <v>10</v>
      </c>
      <c r="N107" s="15" t="s">
        <v>7</v>
      </c>
      <c r="O107" s="15" t="s">
        <v>8</v>
      </c>
      <c r="P107" s="16">
        <f t="shared" si="5"/>
        <v>0</v>
      </c>
      <c r="Q107" s="16">
        <v>0</v>
      </c>
      <c r="R107" s="16">
        <v>0</v>
      </c>
      <c r="S107" s="16">
        <v>0</v>
      </c>
      <c r="T107" s="16">
        <v>0</v>
      </c>
      <c r="U107" s="16" t="s">
        <v>10</v>
      </c>
      <c r="V107" s="16">
        <f t="shared" si="4"/>
        <v>2</v>
      </c>
      <c r="W107" s="16">
        <v>0</v>
      </c>
      <c r="X107" s="16">
        <v>1</v>
      </c>
      <c r="Y107" s="16">
        <v>1</v>
      </c>
      <c r="Z107" s="16">
        <v>0</v>
      </c>
      <c r="AA107" s="16" t="s">
        <v>289</v>
      </c>
      <c r="AB107" s="16" t="s">
        <v>10</v>
      </c>
      <c r="AD107" s="20" t="s">
        <v>386</v>
      </c>
      <c r="AE107" s="4">
        <v>0.753807860406845</v>
      </c>
    </row>
    <row r="108" spans="1:31" x14ac:dyDescent="0.2">
      <c r="A108" s="7" t="s">
        <v>115</v>
      </c>
      <c r="B108" s="7" t="s">
        <v>160</v>
      </c>
      <c r="C108" s="6" t="s">
        <v>164</v>
      </c>
      <c r="D108" s="8" t="s">
        <v>8</v>
      </c>
      <c r="E108" s="8" t="s">
        <v>10</v>
      </c>
      <c r="F108" s="7" t="s">
        <v>7</v>
      </c>
      <c r="G108" s="17">
        <v>27.587</v>
      </c>
      <c r="H108" s="18">
        <v>26.571657180786133</v>
      </c>
      <c r="I108" s="11" t="s">
        <v>183</v>
      </c>
      <c r="J108" s="12">
        <v>15.869529724121094</v>
      </c>
      <c r="K108" s="13" t="s">
        <v>7</v>
      </c>
      <c r="L108" s="14" t="s">
        <v>8</v>
      </c>
      <c r="M108" s="15" t="s">
        <v>10</v>
      </c>
      <c r="N108" s="15" t="s">
        <v>8</v>
      </c>
      <c r="O108" s="15" t="s">
        <v>10</v>
      </c>
      <c r="P108" s="16">
        <f t="shared" si="5"/>
        <v>0</v>
      </c>
      <c r="Q108" s="16">
        <v>0</v>
      </c>
      <c r="R108" s="16">
        <v>0</v>
      </c>
      <c r="S108" s="16">
        <v>0</v>
      </c>
      <c r="T108" s="16">
        <v>0</v>
      </c>
      <c r="U108" s="16" t="s">
        <v>10</v>
      </c>
      <c r="V108" s="16">
        <f t="shared" si="4"/>
        <v>0</v>
      </c>
      <c r="W108" s="16">
        <v>0</v>
      </c>
      <c r="X108" s="16">
        <v>0</v>
      </c>
      <c r="Y108" s="16">
        <v>0</v>
      </c>
      <c r="Z108" s="16">
        <v>0</v>
      </c>
      <c r="AA108" s="16" t="s">
        <v>10</v>
      </c>
      <c r="AB108" s="16" t="s">
        <v>10</v>
      </c>
      <c r="AD108" s="20" t="s">
        <v>388</v>
      </c>
      <c r="AE108" s="16" t="s">
        <v>10</v>
      </c>
    </row>
    <row r="109" spans="1:31" x14ac:dyDescent="0.2">
      <c r="A109" s="7" t="s">
        <v>116</v>
      </c>
      <c r="B109" s="7" t="s">
        <v>160</v>
      </c>
      <c r="C109" s="6" t="s">
        <v>164</v>
      </c>
      <c r="D109" s="8" t="s">
        <v>8</v>
      </c>
      <c r="E109" s="8" t="s">
        <v>10</v>
      </c>
      <c r="F109" s="7" t="s">
        <v>7</v>
      </c>
      <c r="G109" s="9">
        <v>29.91956901550293</v>
      </c>
      <c r="H109" s="18">
        <v>28.268905639648438</v>
      </c>
      <c r="I109" s="11" t="s">
        <v>183</v>
      </c>
      <c r="J109" s="12">
        <v>16.415449142456055</v>
      </c>
      <c r="K109" s="13" t="s">
        <v>7</v>
      </c>
      <c r="L109" s="14" t="s">
        <v>8</v>
      </c>
      <c r="M109" s="15" t="s">
        <v>10</v>
      </c>
      <c r="N109" s="15" t="s">
        <v>8</v>
      </c>
      <c r="O109" s="15" t="s">
        <v>10</v>
      </c>
      <c r="P109" s="16">
        <f t="shared" si="5"/>
        <v>0</v>
      </c>
      <c r="Q109" s="16">
        <v>0</v>
      </c>
      <c r="R109" s="16">
        <v>0</v>
      </c>
      <c r="S109" s="16">
        <v>0</v>
      </c>
      <c r="T109" s="16">
        <v>0</v>
      </c>
      <c r="U109" s="16" t="s">
        <v>10</v>
      </c>
      <c r="V109" s="16">
        <f t="shared" si="4"/>
        <v>0</v>
      </c>
      <c r="W109" s="16">
        <v>0</v>
      </c>
      <c r="X109" s="16">
        <v>0</v>
      </c>
      <c r="Y109" s="16">
        <v>0</v>
      </c>
      <c r="Z109" s="16">
        <v>0</v>
      </c>
      <c r="AA109" s="16" t="s">
        <v>10</v>
      </c>
      <c r="AB109" s="16" t="s">
        <v>10</v>
      </c>
      <c r="AD109" s="20" t="s">
        <v>371</v>
      </c>
      <c r="AE109" s="16" t="s">
        <v>10</v>
      </c>
    </row>
    <row r="110" spans="1:31" x14ac:dyDescent="0.2">
      <c r="A110" s="7" t="s">
        <v>117</v>
      </c>
      <c r="B110" s="7" t="s">
        <v>160</v>
      </c>
      <c r="C110" s="6" t="s">
        <v>164</v>
      </c>
      <c r="D110" s="8" t="s">
        <v>7</v>
      </c>
      <c r="E110" s="8" t="s">
        <v>7</v>
      </c>
      <c r="F110" s="7" t="s">
        <v>8</v>
      </c>
      <c r="G110" s="9">
        <v>31.985044479370117</v>
      </c>
      <c r="H110" s="18">
        <v>18.465303421020508</v>
      </c>
      <c r="I110" s="11" t="s">
        <v>184</v>
      </c>
      <c r="J110" s="12">
        <v>14.882287979125977</v>
      </c>
      <c r="K110" s="13" t="s">
        <v>7</v>
      </c>
      <c r="L110" s="14" t="s">
        <v>8</v>
      </c>
      <c r="M110" s="15" t="s">
        <v>10</v>
      </c>
      <c r="N110" s="15" t="s">
        <v>7</v>
      </c>
      <c r="O110" s="15" t="s">
        <v>7</v>
      </c>
      <c r="P110" s="16">
        <f t="shared" si="5"/>
        <v>4</v>
      </c>
      <c r="Q110" s="1">
        <v>1</v>
      </c>
      <c r="R110" s="16">
        <v>1</v>
      </c>
      <c r="S110" s="16">
        <v>2</v>
      </c>
      <c r="T110" s="16">
        <v>0</v>
      </c>
      <c r="U110" s="16" t="s">
        <v>7</v>
      </c>
      <c r="V110" s="16">
        <f t="shared" si="4"/>
        <v>4</v>
      </c>
      <c r="W110" s="1">
        <v>1</v>
      </c>
      <c r="X110" s="16">
        <v>1</v>
      </c>
      <c r="Y110" s="16">
        <v>2</v>
      </c>
      <c r="Z110" s="16">
        <v>0</v>
      </c>
      <c r="AA110" s="16" t="s">
        <v>288</v>
      </c>
      <c r="AB110" s="16" t="s">
        <v>184</v>
      </c>
      <c r="AC110" t="s">
        <v>187</v>
      </c>
      <c r="AD110" s="20" t="s">
        <v>370</v>
      </c>
      <c r="AE110" s="4">
        <v>141.44236311113201</v>
      </c>
    </row>
    <row r="111" spans="1:31" x14ac:dyDescent="0.2">
      <c r="A111" s="7" t="s">
        <v>118</v>
      </c>
      <c r="B111" s="7" t="s">
        <v>160</v>
      </c>
      <c r="C111" s="6" t="s">
        <v>164</v>
      </c>
      <c r="D111" s="8" t="s">
        <v>7</v>
      </c>
      <c r="E111" s="8" t="s">
        <v>8</v>
      </c>
      <c r="F111" s="7" t="s">
        <v>7</v>
      </c>
      <c r="G111" s="9">
        <v>27.682514190673828</v>
      </c>
      <c r="H111" s="18">
        <v>25.598516464233398</v>
      </c>
      <c r="I111" s="11" t="s">
        <v>183</v>
      </c>
      <c r="J111" s="12">
        <v>15.718560218811035</v>
      </c>
      <c r="K111" s="13" t="s">
        <v>7</v>
      </c>
      <c r="L111" s="14" t="s">
        <v>8</v>
      </c>
      <c r="M111" s="15" t="s">
        <v>10</v>
      </c>
      <c r="N111" s="15" t="s">
        <v>7</v>
      </c>
      <c r="O111" s="15" t="s">
        <v>8</v>
      </c>
      <c r="P111" s="16">
        <f t="shared" si="5"/>
        <v>0</v>
      </c>
      <c r="Q111" s="16">
        <v>0</v>
      </c>
      <c r="R111" s="16">
        <v>0</v>
      </c>
      <c r="S111" s="16">
        <v>0</v>
      </c>
      <c r="T111" s="16">
        <v>0</v>
      </c>
      <c r="U111" s="16" t="s">
        <v>10</v>
      </c>
      <c r="V111" s="16">
        <f t="shared" si="4"/>
        <v>4</v>
      </c>
      <c r="W111" s="16">
        <v>1</v>
      </c>
      <c r="X111" s="16">
        <v>1</v>
      </c>
      <c r="Y111" s="16">
        <v>1</v>
      </c>
      <c r="Z111" s="16">
        <v>1</v>
      </c>
      <c r="AA111" s="16" t="s">
        <v>289</v>
      </c>
      <c r="AB111" s="16" t="s">
        <v>10</v>
      </c>
      <c r="AD111" s="20" t="s">
        <v>369</v>
      </c>
      <c r="AE111" s="4">
        <v>0.825692001112867</v>
      </c>
    </row>
    <row r="112" spans="1:31" x14ac:dyDescent="0.2">
      <c r="A112" s="7" t="s">
        <v>119</v>
      </c>
      <c r="B112" s="7" t="s">
        <v>160</v>
      </c>
      <c r="C112" s="6" t="s">
        <v>164</v>
      </c>
      <c r="D112" s="8" t="s">
        <v>7</v>
      </c>
      <c r="E112" s="8" t="s">
        <v>7</v>
      </c>
      <c r="F112" s="7" t="s">
        <v>8</v>
      </c>
      <c r="G112" s="7">
        <v>0</v>
      </c>
      <c r="H112" s="18">
        <v>15.33978271484375</v>
      </c>
      <c r="I112" s="11" t="s">
        <v>184</v>
      </c>
      <c r="J112" s="12">
        <v>19.620981216430664</v>
      </c>
      <c r="K112" s="13" t="s">
        <v>7</v>
      </c>
      <c r="L112" s="14" t="s">
        <v>7</v>
      </c>
      <c r="M112" s="15" t="s">
        <v>7</v>
      </c>
      <c r="N112" s="15" t="s">
        <v>7</v>
      </c>
      <c r="O112" s="15" t="s">
        <v>7</v>
      </c>
      <c r="P112" s="16">
        <f t="shared" si="5"/>
        <v>4</v>
      </c>
      <c r="Q112" s="1">
        <v>1</v>
      </c>
      <c r="R112" s="16">
        <v>1</v>
      </c>
      <c r="S112" s="16">
        <v>1</v>
      </c>
      <c r="T112" s="1">
        <v>1</v>
      </c>
      <c r="U112" s="1" t="s">
        <v>8</v>
      </c>
      <c r="V112" s="16">
        <f t="shared" si="4"/>
        <v>4</v>
      </c>
      <c r="W112" s="1">
        <v>1</v>
      </c>
      <c r="X112" s="16">
        <v>1</v>
      </c>
      <c r="Y112" s="16">
        <v>1</v>
      </c>
      <c r="Z112" s="1">
        <v>1</v>
      </c>
      <c r="AA112" s="1" t="s">
        <v>289</v>
      </c>
      <c r="AB112" s="1" t="s">
        <v>183</v>
      </c>
      <c r="AC112" t="s">
        <v>189</v>
      </c>
      <c r="AD112" s="20" t="s">
        <v>366</v>
      </c>
      <c r="AE112" s="4">
        <v>2286.0010395654899</v>
      </c>
    </row>
    <row r="113" spans="1:31" x14ac:dyDescent="0.2">
      <c r="A113" s="7" t="s">
        <v>120</v>
      </c>
      <c r="B113" s="7" t="s">
        <v>160</v>
      </c>
      <c r="C113" s="7" t="s">
        <v>164</v>
      </c>
      <c r="D113" s="8" t="s">
        <v>7</v>
      </c>
      <c r="E113" s="8" t="s">
        <v>8</v>
      </c>
      <c r="F113" s="7" t="s">
        <v>8</v>
      </c>
      <c r="G113" s="9">
        <v>22.066535949707031</v>
      </c>
      <c r="H113" s="10">
        <v>22.862525939941406</v>
      </c>
      <c r="I113" s="11" t="s">
        <v>183</v>
      </c>
      <c r="J113" s="12">
        <v>17.287298202514648</v>
      </c>
      <c r="K113" s="13" t="s">
        <v>8</v>
      </c>
      <c r="L113" s="14" t="s">
        <v>7</v>
      </c>
      <c r="M113" s="15" t="s">
        <v>8</v>
      </c>
      <c r="N113" s="15" t="s">
        <v>7</v>
      </c>
      <c r="O113" s="15" t="s">
        <v>8</v>
      </c>
      <c r="P113" s="16">
        <f t="shared" si="5"/>
        <v>0</v>
      </c>
      <c r="Q113" s="16">
        <v>0</v>
      </c>
      <c r="R113" s="16">
        <v>0</v>
      </c>
      <c r="S113" s="16">
        <v>0</v>
      </c>
      <c r="T113" s="16">
        <v>0</v>
      </c>
      <c r="U113" s="16" t="s">
        <v>10</v>
      </c>
      <c r="V113" s="16">
        <f t="shared" si="4"/>
        <v>0</v>
      </c>
      <c r="W113" s="1">
        <v>0</v>
      </c>
      <c r="X113" s="16">
        <v>0</v>
      </c>
      <c r="Y113" s="16">
        <v>0</v>
      </c>
      <c r="Z113" s="1">
        <v>0</v>
      </c>
      <c r="AA113" s="1" t="s">
        <v>10</v>
      </c>
      <c r="AB113" s="1" t="s">
        <v>10</v>
      </c>
      <c r="AD113" s="20" t="s">
        <v>451</v>
      </c>
      <c r="AE113" s="16" t="s">
        <v>10</v>
      </c>
    </row>
    <row r="114" spans="1:31" x14ac:dyDescent="0.2">
      <c r="A114" s="7" t="s">
        <v>121</v>
      </c>
      <c r="B114" s="7" t="s">
        <v>160</v>
      </c>
      <c r="C114" s="7" t="s">
        <v>164</v>
      </c>
      <c r="D114" s="8" t="s">
        <v>7</v>
      </c>
      <c r="E114" s="8" t="s">
        <v>7</v>
      </c>
      <c r="F114" s="7" t="s">
        <v>8</v>
      </c>
      <c r="G114" s="9">
        <v>9.9413785934448207</v>
      </c>
      <c r="H114" s="10">
        <v>14.844401359558105</v>
      </c>
      <c r="I114" s="11" t="s">
        <v>183</v>
      </c>
      <c r="J114" s="12">
        <v>18.285406112670898</v>
      </c>
      <c r="K114" s="13" t="s">
        <v>7</v>
      </c>
      <c r="L114" s="14" t="s">
        <v>7</v>
      </c>
      <c r="M114" s="15" t="s">
        <v>7</v>
      </c>
      <c r="N114" s="15" t="s">
        <v>7</v>
      </c>
      <c r="O114" s="15" t="s">
        <v>7</v>
      </c>
      <c r="P114" s="16">
        <f t="shared" si="5"/>
        <v>4</v>
      </c>
      <c r="Q114" s="1">
        <v>1</v>
      </c>
      <c r="R114" s="16">
        <v>1</v>
      </c>
      <c r="S114" s="16">
        <v>1</v>
      </c>
      <c r="T114" s="1">
        <v>1</v>
      </c>
      <c r="U114" s="1" t="s">
        <v>8</v>
      </c>
      <c r="V114" s="16">
        <f t="shared" si="4"/>
        <v>4</v>
      </c>
      <c r="W114" s="1">
        <v>1</v>
      </c>
      <c r="X114" s="16">
        <v>1</v>
      </c>
      <c r="Y114" s="16">
        <v>1</v>
      </c>
      <c r="Z114" s="1">
        <v>1</v>
      </c>
      <c r="AA114" s="1" t="s">
        <v>289</v>
      </c>
      <c r="AB114" s="1" t="s">
        <v>183</v>
      </c>
      <c r="AC114" t="s">
        <v>267</v>
      </c>
      <c r="AD114" s="20" t="s">
        <v>393</v>
      </c>
      <c r="AE114" s="4">
        <v>2417.3300818870998</v>
      </c>
    </row>
    <row r="115" spans="1:31" x14ac:dyDescent="0.2">
      <c r="A115" s="7" t="s">
        <v>122</v>
      </c>
      <c r="B115" s="7" t="s">
        <v>160</v>
      </c>
      <c r="C115" s="7" t="s">
        <v>164</v>
      </c>
      <c r="D115" s="8" t="s">
        <v>8</v>
      </c>
      <c r="E115" s="8" t="s">
        <v>10</v>
      </c>
      <c r="F115" s="7" t="s">
        <v>7</v>
      </c>
      <c r="G115" s="9">
        <v>26.317890167236328</v>
      </c>
      <c r="H115" s="10">
        <v>32.261772155761719</v>
      </c>
      <c r="I115" s="11" t="s">
        <v>183</v>
      </c>
      <c r="J115" s="12">
        <v>17.618524551391602</v>
      </c>
      <c r="K115" s="13" t="s">
        <v>7</v>
      </c>
      <c r="L115" s="14" t="s">
        <v>8</v>
      </c>
      <c r="M115" s="15" t="s">
        <v>10</v>
      </c>
      <c r="N115" s="15" t="s">
        <v>8</v>
      </c>
      <c r="O115" s="15" t="s">
        <v>10</v>
      </c>
      <c r="P115" s="16">
        <f t="shared" si="5"/>
        <v>0</v>
      </c>
      <c r="Q115" s="16">
        <v>0</v>
      </c>
      <c r="R115" s="16">
        <v>0</v>
      </c>
      <c r="S115" s="16">
        <v>0</v>
      </c>
      <c r="T115" s="16">
        <v>0</v>
      </c>
      <c r="U115" s="16" t="s">
        <v>10</v>
      </c>
      <c r="V115" s="16">
        <f t="shared" si="4"/>
        <v>0</v>
      </c>
      <c r="W115" s="16">
        <v>0</v>
      </c>
      <c r="X115" s="16">
        <v>0</v>
      </c>
      <c r="Y115" s="16">
        <v>0</v>
      </c>
      <c r="Z115" s="16">
        <v>0</v>
      </c>
      <c r="AA115" s="16" t="s">
        <v>10</v>
      </c>
      <c r="AB115" s="16" t="s">
        <v>10</v>
      </c>
      <c r="AD115" s="20" t="s">
        <v>399</v>
      </c>
      <c r="AE115" s="16" t="s">
        <v>10</v>
      </c>
    </row>
    <row r="116" spans="1:31" x14ac:dyDescent="0.2">
      <c r="A116" s="7" t="s">
        <v>123</v>
      </c>
      <c r="B116" s="7" t="s">
        <v>160</v>
      </c>
      <c r="C116" s="7" t="s">
        <v>164</v>
      </c>
      <c r="D116" s="8" t="s">
        <v>7</v>
      </c>
      <c r="E116" s="8" t="s">
        <v>7</v>
      </c>
      <c r="F116" s="7" t="s">
        <v>8</v>
      </c>
      <c r="G116" s="9">
        <v>30.207603454589844</v>
      </c>
      <c r="H116" s="10">
        <v>20.009189605712891</v>
      </c>
      <c r="I116" s="11" t="s">
        <v>184</v>
      </c>
      <c r="J116" s="12">
        <v>18.955171585083008</v>
      </c>
      <c r="K116" s="13" t="s">
        <v>7</v>
      </c>
      <c r="L116" s="14" t="s">
        <v>8</v>
      </c>
      <c r="M116" s="15" t="s">
        <v>10</v>
      </c>
      <c r="N116" s="15" t="s">
        <v>7</v>
      </c>
      <c r="O116" s="15" t="s">
        <v>7</v>
      </c>
      <c r="P116" s="16">
        <f t="shared" si="5"/>
        <v>3</v>
      </c>
      <c r="Q116" s="1">
        <v>1</v>
      </c>
      <c r="R116" s="16">
        <v>1</v>
      </c>
      <c r="S116" s="16">
        <v>1</v>
      </c>
      <c r="T116" s="16">
        <v>0</v>
      </c>
      <c r="U116" s="16" t="s">
        <v>8</v>
      </c>
      <c r="V116" s="16">
        <f t="shared" si="4"/>
        <v>3</v>
      </c>
      <c r="W116" s="1">
        <v>1</v>
      </c>
      <c r="X116" s="16">
        <v>1</v>
      </c>
      <c r="Y116" s="16">
        <v>1</v>
      </c>
      <c r="Z116" s="16">
        <v>0</v>
      </c>
      <c r="AA116" s="16" t="s">
        <v>289</v>
      </c>
      <c r="AB116" s="16" t="s">
        <v>184</v>
      </c>
      <c r="AC116" t="s">
        <v>266</v>
      </c>
      <c r="AD116" s="20" t="s">
        <v>440</v>
      </c>
      <c r="AE116" s="4">
        <v>665.49532949965101</v>
      </c>
    </row>
    <row r="117" spans="1:31" x14ac:dyDescent="0.2">
      <c r="A117" s="7" t="s">
        <v>124</v>
      </c>
      <c r="B117" s="7" t="s">
        <v>160</v>
      </c>
      <c r="C117" s="7" t="s">
        <v>164</v>
      </c>
      <c r="D117" s="8" t="s">
        <v>7</v>
      </c>
      <c r="E117" s="8" t="s">
        <v>7</v>
      </c>
      <c r="F117" s="7" t="s">
        <v>8</v>
      </c>
      <c r="G117" s="9">
        <v>31.941169738769531</v>
      </c>
      <c r="H117" s="10">
        <v>22.721366882324219</v>
      </c>
      <c r="I117" s="11" t="s">
        <v>184</v>
      </c>
      <c r="J117" s="12">
        <v>17.033742904663086</v>
      </c>
      <c r="K117" s="13" t="s">
        <v>7</v>
      </c>
      <c r="L117" s="14" t="s">
        <v>8</v>
      </c>
      <c r="M117" s="15" t="s">
        <v>10</v>
      </c>
      <c r="N117" s="15" t="s">
        <v>7</v>
      </c>
      <c r="O117" s="15" t="s">
        <v>7</v>
      </c>
      <c r="P117" s="16">
        <f t="shared" si="5"/>
        <v>3</v>
      </c>
      <c r="Q117" s="1">
        <v>1</v>
      </c>
      <c r="R117" s="16">
        <v>1</v>
      </c>
      <c r="S117" s="16">
        <v>1</v>
      </c>
      <c r="T117" s="16">
        <v>0</v>
      </c>
      <c r="U117" s="16" t="s">
        <v>8</v>
      </c>
      <c r="V117" s="16">
        <f t="shared" si="4"/>
        <v>3</v>
      </c>
      <c r="W117" s="1">
        <v>1</v>
      </c>
      <c r="X117" s="16">
        <v>1</v>
      </c>
      <c r="Y117" s="16">
        <v>1</v>
      </c>
      <c r="Z117" s="16">
        <v>0</v>
      </c>
      <c r="AA117" s="16" t="s">
        <v>289</v>
      </c>
      <c r="AB117" s="16" t="s">
        <v>184</v>
      </c>
      <c r="AC117" t="s">
        <v>265</v>
      </c>
      <c r="AD117" s="20" t="s">
        <v>436</v>
      </c>
      <c r="AE117" s="4">
        <v>178.31876081458199</v>
      </c>
    </row>
    <row r="118" spans="1:31" x14ac:dyDescent="0.2">
      <c r="A118" s="7" t="s">
        <v>125</v>
      </c>
      <c r="B118" s="7" t="s">
        <v>160</v>
      </c>
      <c r="C118" s="7" t="s">
        <v>164</v>
      </c>
      <c r="D118" s="8" t="s">
        <v>7</v>
      </c>
      <c r="E118" s="7" t="s">
        <v>8</v>
      </c>
      <c r="F118" s="7" t="s">
        <v>7</v>
      </c>
      <c r="G118" s="9">
        <v>24.367731094360352</v>
      </c>
      <c r="H118" s="10">
        <v>27.884449005126953</v>
      </c>
      <c r="I118" s="11" t="s">
        <v>183</v>
      </c>
      <c r="J118" s="12">
        <v>17.516778945922852</v>
      </c>
      <c r="K118" s="13" t="s">
        <v>7</v>
      </c>
      <c r="L118" s="14" t="s">
        <v>8</v>
      </c>
      <c r="M118" s="15" t="s">
        <v>10</v>
      </c>
      <c r="N118" s="15" t="s">
        <v>7</v>
      </c>
      <c r="O118" s="15" t="s">
        <v>8</v>
      </c>
      <c r="P118" s="16">
        <f t="shared" si="5"/>
        <v>0</v>
      </c>
      <c r="Q118" s="16">
        <v>0</v>
      </c>
      <c r="R118" s="16">
        <v>0</v>
      </c>
      <c r="S118" s="16">
        <v>0</v>
      </c>
      <c r="T118" s="16">
        <v>0</v>
      </c>
      <c r="U118" s="16" t="s">
        <v>10</v>
      </c>
      <c r="V118" s="16">
        <f t="shared" si="4"/>
        <v>0</v>
      </c>
      <c r="W118" s="16">
        <v>0</v>
      </c>
      <c r="X118" s="16">
        <v>0</v>
      </c>
      <c r="Y118" s="16">
        <v>0</v>
      </c>
      <c r="Z118" s="16">
        <v>0</v>
      </c>
      <c r="AA118" s="16" t="s">
        <v>10</v>
      </c>
      <c r="AB118" s="16" t="s">
        <v>10</v>
      </c>
      <c r="AD118" s="20" t="s">
        <v>444</v>
      </c>
      <c r="AE118" s="4">
        <v>0.94308918860472801</v>
      </c>
    </row>
    <row r="119" spans="1:31" x14ac:dyDescent="0.2">
      <c r="A119" s="7" t="s">
        <v>126</v>
      </c>
      <c r="B119" s="7" t="s">
        <v>160</v>
      </c>
      <c r="C119" s="7" t="s">
        <v>164</v>
      </c>
      <c r="D119" s="8" t="s">
        <v>8</v>
      </c>
      <c r="E119" s="8" t="s">
        <v>10</v>
      </c>
      <c r="F119" s="7" t="s">
        <v>7</v>
      </c>
      <c r="G119" s="9">
        <v>22.338651657104492</v>
      </c>
      <c r="H119" s="10">
        <v>31.794710159301758</v>
      </c>
      <c r="I119" s="11" t="s">
        <v>183</v>
      </c>
      <c r="J119" s="12">
        <v>18.039304733276367</v>
      </c>
      <c r="K119" s="13" t="s">
        <v>8</v>
      </c>
      <c r="L119" s="14" t="s">
        <v>8</v>
      </c>
      <c r="M119" s="15" t="s">
        <v>10</v>
      </c>
      <c r="N119" s="15" t="s">
        <v>8</v>
      </c>
      <c r="O119" s="15" t="s">
        <v>10</v>
      </c>
      <c r="P119" s="16">
        <f t="shared" si="5"/>
        <v>0</v>
      </c>
      <c r="Q119" s="16">
        <v>0</v>
      </c>
      <c r="R119" s="16">
        <v>0</v>
      </c>
      <c r="S119" s="16">
        <v>0</v>
      </c>
      <c r="T119" s="16">
        <v>0</v>
      </c>
      <c r="U119" s="16" t="s">
        <v>10</v>
      </c>
      <c r="V119" s="16">
        <f t="shared" si="4"/>
        <v>0</v>
      </c>
      <c r="W119" s="16">
        <v>0</v>
      </c>
      <c r="X119" s="16">
        <v>0</v>
      </c>
      <c r="Y119" s="16">
        <v>0</v>
      </c>
      <c r="Z119" s="16">
        <v>0</v>
      </c>
      <c r="AA119" s="16" t="s">
        <v>10</v>
      </c>
      <c r="AB119" s="16" t="s">
        <v>10</v>
      </c>
      <c r="AD119" s="20" t="s">
        <v>448</v>
      </c>
      <c r="AE119" s="16" t="s">
        <v>10</v>
      </c>
    </row>
    <row r="120" spans="1:31" x14ac:dyDescent="0.2">
      <c r="A120" s="6" t="s">
        <v>127</v>
      </c>
      <c r="B120" s="6" t="s">
        <v>162</v>
      </c>
      <c r="C120" s="6" t="s">
        <v>164</v>
      </c>
      <c r="D120" s="8" t="s">
        <v>7</v>
      </c>
      <c r="E120" s="8" t="s">
        <v>7</v>
      </c>
      <c r="F120" s="7" t="s">
        <v>8</v>
      </c>
      <c r="G120" s="9">
        <v>18.458244323730469</v>
      </c>
      <c r="H120" s="10">
        <v>16.700277328491211</v>
      </c>
      <c r="I120" s="11" t="s">
        <v>183</v>
      </c>
      <c r="J120" s="12">
        <v>20.017915725708008</v>
      </c>
      <c r="K120" s="13" t="s">
        <v>7</v>
      </c>
      <c r="L120" s="14" t="s">
        <v>7</v>
      </c>
      <c r="M120" s="15" t="s">
        <v>7</v>
      </c>
      <c r="N120" s="15" t="s">
        <v>7</v>
      </c>
      <c r="O120" s="15" t="s">
        <v>7</v>
      </c>
      <c r="P120" s="16">
        <f t="shared" si="5"/>
        <v>4</v>
      </c>
      <c r="Q120" s="1">
        <v>1</v>
      </c>
      <c r="R120" s="16">
        <v>1</v>
      </c>
      <c r="S120" s="16">
        <v>1</v>
      </c>
      <c r="T120" s="1">
        <v>1</v>
      </c>
      <c r="U120" s="1" t="s">
        <v>8</v>
      </c>
      <c r="V120" s="16">
        <f t="shared" si="4"/>
        <v>4</v>
      </c>
      <c r="W120" s="1">
        <v>1</v>
      </c>
      <c r="X120" s="16">
        <v>1</v>
      </c>
      <c r="Y120" s="16">
        <v>1</v>
      </c>
      <c r="Z120" s="1">
        <v>1</v>
      </c>
      <c r="AA120" s="1" t="s">
        <v>289</v>
      </c>
      <c r="AB120" s="1" t="s">
        <v>183</v>
      </c>
      <c r="AC120" t="s">
        <v>268</v>
      </c>
      <c r="AD120" s="20" t="s">
        <v>446</v>
      </c>
      <c r="AE120" s="4">
        <v>11008.0644484021</v>
      </c>
    </row>
    <row r="121" spans="1:31" x14ac:dyDescent="0.2">
      <c r="A121" s="6" t="s">
        <v>128</v>
      </c>
      <c r="B121" s="6" t="s">
        <v>162</v>
      </c>
      <c r="C121" s="6" t="s">
        <v>164</v>
      </c>
      <c r="D121" s="8" t="s">
        <v>8</v>
      </c>
      <c r="E121" s="8" t="s">
        <v>10</v>
      </c>
      <c r="F121" s="7" t="s">
        <v>7</v>
      </c>
      <c r="G121" s="9">
        <v>31.569723129272461</v>
      </c>
      <c r="H121" s="10">
        <v>23.953281402587891</v>
      </c>
      <c r="I121" s="11" t="s">
        <v>184</v>
      </c>
      <c r="J121" s="12">
        <v>22.379816055297852</v>
      </c>
      <c r="K121" s="13" t="s">
        <v>7</v>
      </c>
      <c r="L121" s="14" t="s">
        <v>8</v>
      </c>
      <c r="M121" s="15" t="s">
        <v>10</v>
      </c>
      <c r="N121" s="15" t="s">
        <v>8</v>
      </c>
      <c r="O121" s="15" t="s">
        <v>10</v>
      </c>
      <c r="P121" s="16">
        <f t="shared" si="5"/>
        <v>0</v>
      </c>
      <c r="Q121" s="16">
        <v>0</v>
      </c>
      <c r="R121" s="16">
        <v>0</v>
      </c>
      <c r="S121" s="16">
        <v>0</v>
      </c>
      <c r="T121" s="16">
        <v>0</v>
      </c>
      <c r="U121" s="16" t="s">
        <v>10</v>
      </c>
      <c r="V121" s="16">
        <f t="shared" si="4"/>
        <v>0</v>
      </c>
      <c r="W121" s="16">
        <v>0</v>
      </c>
      <c r="X121" s="16">
        <v>0</v>
      </c>
      <c r="Y121" s="16">
        <v>0</v>
      </c>
      <c r="Z121" s="16">
        <v>0</v>
      </c>
      <c r="AA121" s="16" t="s">
        <v>10</v>
      </c>
      <c r="AB121" s="16" t="s">
        <v>10</v>
      </c>
      <c r="AD121" s="20" t="s">
        <v>445</v>
      </c>
      <c r="AE121" s="16" t="s">
        <v>10</v>
      </c>
    </row>
    <row r="122" spans="1:31" x14ac:dyDescent="0.2">
      <c r="A122" s="7" t="s">
        <v>129</v>
      </c>
      <c r="B122" s="7" t="s">
        <v>160</v>
      </c>
      <c r="C122" s="6" t="s">
        <v>164</v>
      </c>
      <c r="D122" s="7" t="s">
        <v>7</v>
      </c>
      <c r="E122" s="7" t="s">
        <v>8</v>
      </c>
      <c r="F122" s="7" t="s">
        <v>7</v>
      </c>
      <c r="G122" s="7">
        <v>0</v>
      </c>
      <c r="H122" s="10">
        <v>25.904689788818359</v>
      </c>
      <c r="I122" s="11" t="s">
        <v>184</v>
      </c>
      <c r="J122" s="12">
        <v>16.991941452026367</v>
      </c>
      <c r="K122" s="13" t="s">
        <v>7</v>
      </c>
      <c r="L122" s="14" t="s">
        <v>8</v>
      </c>
      <c r="M122" s="15" t="s">
        <v>10</v>
      </c>
      <c r="N122" s="15" t="s">
        <v>7</v>
      </c>
      <c r="O122" s="15" t="s">
        <v>8</v>
      </c>
      <c r="P122" s="16">
        <f t="shared" si="5"/>
        <v>0</v>
      </c>
      <c r="Q122" s="16">
        <v>0</v>
      </c>
      <c r="R122" s="16">
        <v>0</v>
      </c>
      <c r="S122" s="16">
        <v>0</v>
      </c>
      <c r="T122" s="16">
        <v>0</v>
      </c>
      <c r="U122" s="16" t="s">
        <v>10</v>
      </c>
      <c r="V122" s="16">
        <f t="shared" si="4"/>
        <v>0</v>
      </c>
      <c r="W122" s="16">
        <v>0</v>
      </c>
      <c r="X122" s="16">
        <v>0</v>
      </c>
      <c r="Y122" s="16">
        <v>0</v>
      </c>
      <c r="Z122" s="16">
        <v>0</v>
      </c>
      <c r="AA122" s="16" t="s">
        <v>10</v>
      </c>
      <c r="AB122" s="16" t="s">
        <v>10</v>
      </c>
      <c r="AD122" s="20" t="s">
        <v>443</v>
      </c>
      <c r="AE122" s="16" t="s">
        <v>10</v>
      </c>
    </row>
    <row r="123" spans="1:31" x14ac:dyDescent="0.2">
      <c r="A123" s="7" t="s">
        <v>130</v>
      </c>
      <c r="B123" s="7" t="s">
        <v>160</v>
      </c>
      <c r="C123" s="6" t="s">
        <v>164</v>
      </c>
      <c r="D123" s="8" t="s">
        <v>7</v>
      </c>
      <c r="E123" s="8" t="s">
        <v>7</v>
      </c>
      <c r="F123" s="7" t="s">
        <v>8</v>
      </c>
      <c r="G123" s="9">
        <v>13.980960845947266</v>
      </c>
      <c r="H123" s="10">
        <v>13.240074157714844</v>
      </c>
      <c r="I123" s="11" t="s">
        <v>183</v>
      </c>
      <c r="J123" s="12">
        <v>16.740236282348633</v>
      </c>
      <c r="K123" s="13" t="s">
        <v>7</v>
      </c>
      <c r="L123" s="14" t="s">
        <v>8</v>
      </c>
      <c r="M123" s="15" t="s">
        <v>10</v>
      </c>
      <c r="N123" s="15" t="s">
        <v>7</v>
      </c>
      <c r="O123" s="15" t="s">
        <v>7</v>
      </c>
      <c r="P123" s="16">
        <f t="shared" si="5"/>
        <v>3</v>
      </c>
      <c r="Q123" s="1">
        <v>1</v>
      </c>
      <c r="R123" s="16">
        <v>1</v>
      </c>
      <c r="S123" s="16">
        <v>1</v>
      </c>
      <c r="T123" s="16">
        <v>0</v>
      </c>
      <c r="U123" s="16" t="s">
        <v>8</v>
      </c>
      <c r="V123" s="16">
        <f t="shared" si="4"/>
        <v>3</v>
      </c>
      <c r="W123" s="1">
        <v>1</v>
      </c>
      <c r="X123" s="16">
        <v>1</v>
      </c>
      <c r="Y123" s="16">
        <v>1</v>
      </c>
      <c r="Z123" s="16">
        <v>0</v>
      </c>
      <c r="AA123" s="16" t="s">
        <v>289</v>
      </c>
      <c r="AB123" s="16" t="s">
        <v>183</v>
      </c>
      <c r="AC123" t="s">
        <v>271</v>
      </c>
      <c r="AD123" s="20" t="s">
        <v>447</v>
      </c>
      <c r="AE123" s="4">
        <v>1807.4783876583199</v>
      </c>
    </row>
    <row r="124" spans="1:31" x14ac:dyDescent="0.2">
      <c r="A124" s="7" t="s">
        <v>131</v>
      </c>
      <c r="B124" s="7" t="s">
        <v>160</v>
      </c>
      <c r="C124" s="6" t="s">
        <v>164</v>
      </c>
      <c r="D124" s="7" t="s">
        <v>8</v>
      </c>
      <c r="E124" s="8" t="s">
        <v>10</v>
      </c>
      <c r="F124" s="7" t="s">
        <v>7</v>
      </c>
      <c r="G124" s="9">
        <v>28.903675079345703</v>
      </c>
      <c r="H124" s="10">
        <v>28.92967414855957</v>
      </c>
      <c r="I124" s="11" t="s">
        <v>183</v>
      </c>
      <c r="J124" s="12">
        <v>16.916828155517578</v>
      </c>
      <c r="K124" s="13" t="s">
        <v>7</v>
      </c>
      <c r="L124" s="14" t="s">
        <v>8</v>
      </c>
      <c r="M124" s="15" t="s">
        <v>10</v>
      </c>
      <c r="N124" s="15" t="s">
        <v>8</v>
      </c>
      <c r="O124" s="15" t="s">
        <v>10</v>
      </c>
      <c r="P124" s="16">
        <f t="shared" ref="P124:P150" si="6">SUM(Q124:T124)</f>
        <v>0</v>
      </c>
      <c r="Q124" s="16">
        <v>0</v>
      </c>
      <c r="R124" s="16">
        <v>0</v>
      </c>
      <c r="S124" s="16">
        <v>0</v>
      </c>
      <c r="T124" s="16">
        <v>0</v>
      </c>
      <c r="U124" s="16" t="s">
        <v>10</v>
      </c>
      <c r="V124" s="16">
        <f t="shared" si="4"/>
        <v>0</v>
      </c>
      <c r="W124" s="16">
        <v>0</v>
      </c>
      <c r="X124" s="16">
        <v>0</v>
      </c>
      <c r="Y124" s="16">
        <v>0</v>
      </c>
      <c r="Z124" s="16">
        <v>0</v>
      </c>
      <c r="AA124" s="16" t="s">
        <v>10</v>
      </c>
      <c r="AB124" s="16" t="s">
        <v>10</v>
      </c>
      <c r="AD124" s="20" t="s">
        <v>306</v>
      </c>
      <c r="AE124" s="16" t="s">
        <v>10</v>
      </c>
    </row>
    <row r="125" spans="1:31" x14ac:dyDescent="0.2">
      <c r="A125" s="7" t="s">
        <v>132</v>
      </c>
      <c r="B125" s="7" t="s">
        <v>160</v>
      </c>
      <c r="C125" s="6" t="s">
        <v>164</v>
      </c>
      <c r="D125" s="7" t="s">
        <v>8</v>
      </c>
      <c r="E125" s="8" t="s">
        <v>10</v>
      </c>
      <c r="F125" s="7" t="s">
        <v>7</v>
      </c>
      <c r="G125" s="9">
        <v>24.538702011108398</v>
      </c>
      <c r="H125" s="34">
        <v>0</v>
      </c>
      <c r="I125" s="35" t="s">
        <v>183</v>
      </c>
      <c r="J125" s="12">
        <v>17.458293914794922</v>
      </c>
      <c r="K125" s="13" t="s">
        <v>7</v>
      </c>
      <c r="L125" s="14" t="s">
        <v>8</v>
      </c>
      <c r="M125" s="15" t="s">
        <v>10</v>
      </c>
      <c r="N125" s="15" t="s">
        <v>8</v>
      </c>
      <c r="O125" s="15" t="s">
        <v>10</v>
      </c>
      <c r="P125" s="16">
        <f t="shared" si="6"/>
        <v>0</v>
      </c>
      <c r="Q125" s="16">
        <v>0</v>
      </c>
      <c r="R125" s="16">
        <v>0</v>
      </c>
      <c r="S125" s="16">
        <v>0</v>
      </c>
      <c r="T125" s="16">
        <v>0</v>
      </c>
      <c r="U125" s="16" t="s">
        <v>10</v>
      </c>
      <c r="V125" s="16">
        <f t="shared" ref="V125:V150" si="7">SUM(W125:Z125)</f>
        <v>0</v>
      </c>
      <c r="W125" s="16">
        <v>0</v>
      </c>
      <c r="X125" s="16">
        <v>0</v>
      </c>
      <c r="Y125" s="16">
        <v>0</v>
      </c>
      <c r="Z125" s="16">
        <v>0</v>
      </c>
      <c r="AA125" s="16" t="s">
        <v>10</v>
      </c>
      <c r="AB125" s="16" t="s">
        <v>10</v>
      </c>
      <c r="AD125" s="20" t="s">
        <v>330</v>
      </c>
      <c r="AE125" s="16" t="s">
        <v>10</v>
      </c>
    </row>
    <row r="126" spans="1:31" x14ac:dyDescent="0.2">
      <c r="A126" s="7" t="s">
        <v>133</v>
      </c>
      <c r="B126" s="7" t="s">
        <v>160</v>
      </c>
      <c r="C126" s="6" t="s">
        <v>164</v>
      </c>
      <c r="D126" s="8" t="s">
        <v>7</v>
      </c>
      <c r="E126" s="8" t="s">
        <v>7</v>
      </c>
      <c r="F126" s="7" t="s">
        <v>8</v>
      </c>
      <c r="G126" s="9">
        <v>29.668727874755859</v>
      </c>
      <c r="H126" s="10">
        <v>28.319025039672852</v>
      </c>
      <c r="I126" s="11" t="s">
        <v>183</v>
      </c>
      <c r="J126" s="12">
        <v>20.980093002319336</v>
      </c>
      <c r="K126" s="13" t="s">
        <v>7</v>
      </c>
      <c r="L126" s="14" t="s">
        <v>7</v>
      </c>
      <c r="M126" s="15" t="s">
        <v>7</v>
      </c>
      <c r="N126" s="15" t="s">
        <v>7</v>
      </c>
      <c r="O126" s="15" t="s">
        <v>7</v>
      </c>
      <c r="P126" s="16">
        <f t="shared" si="6"/>
        <v>5</v>
      </c>
      <c r="Q126" s="1">
        <v>1</v>
      </c>
      <c r="R126" s="16">
        <v>1</v>
      </c>
      <c r="S126" s="16">
        <v>2</v>
      </c>
      <c r="T126" s="1">
        <v>1</v>
      </c>
      <c r="U126" s="1" t="s">
        <v>7</v>
      </c>
      <c r="V126" s="16">
        <f t="shared" si="7"/>
        <v>5</v>
      </c>
      <c r="W126" s="1">
        <v>1</v>
      </c>
      <c r="X126" s="16">
        <v>1</v>
      </c>
      <c r="Y126" s="16">
        <v>2</v>
      </c>
      <c r="Z126" s="1">
        <v>1</v>
      </c>
      <c r="AA126" s="1" t="s">
        <v>288</v>
      </c>
      <c r="AB126" s="1" t="s">
        <v>183</v>
      </c>
      <c r="AC126" t="s">
        <v>272</v>
      </c>
      <c r="AD126" s="20" t="s">
        <v>326</v>
      </c>
      <c r="AE126" s="4">
        <v>37.684587911423201</v>
      </c>
    </row>
    <row r="127" spans="1:31" x14ac:dyDescent="0.2">
      <c r="A127" s="7" t="s">
        <v>134</v>
      </c>
      <c r="B127" s="7" t="s">
        <v>160</v>
      </c>
      <c r="C127" s="6" t="s">
        <v>164</v>
      </c>
      <c r="D127" s="7" t="s">
        <v>7</v>
      </c>
      <c r="E127" s="7" t="s">
        <v>8</v>
      </c>
      <c r="F127" s="7" t="s">
        <v>8</v>
      </c>
      <c r="G127" s="9">
        <v>24.667085647583008</v>
      </c>
      <c r="H127" s="10">
        <v>19.980537414550781</v>
      </c>
      <c r="I127" s="11" t="s">
        <v>183</v>
      </c>
      <c r="J127" s="12">
        <v>16.17315673828125</v>
      </c>
      <c r="K127" s="13" t="s">
        <v>8</v>
      </c>
      <c r="L127" s="14" t="s">
        <v>7</v>
      </c>
      <c r="M127" s="15" t="s">
        <v>8</v>
      </c>
      <c r="N127" s="15" t="s">
        <v>7</v>
      </c>
      <c r="O127" s="15" t="s">
        <v>8</v>
      </c>
      <c r="P127" s="16">
        <f t="shared" si="6"/>
        <v>0</v>
      </c>
      <c r="Q127" s="16">
        <v>0</v>
      </c>
      <c r="R127" s="16">
        <v>0</v>
      </c>
      <c r="S127" s="16">
        <v>0</v>
      </c>
      <c r="T127" s="16">
        <v>0</v>
      </c>
      <c r="U127" s="16" t="s">
        <v>10</v>
      </c>
      <c r="V127" s="16">
        <f t="shared" si="7"/>
        <v>4</v>
      </c>
      <c r="W127" s="1">
        <v>1</v>
      </c>
      <c r="X127" s="16">
        <v>1</v>
      </c>
      <c r="Y127" s="16">
        <v>1</v>
      </c>
      <c r="Z127" s="1">
        <v>1</v>
      </c>
      <c r="AA127" s="1" t="s">
        <v>289</v>
      </c>
      <c r="AB127" s="1" t="s">
        <v>10</v>
      </c>
      <c r="AD127" s="20" t="s">
        <v>346</v>
      </c>
      <c r="AE127" s="4">
        <v>3.2334065214899401</v>
      </c>
    </row>
    <row r="128" spans="1:31" x14ac:dyDescent="0.2">
      <c r="A128" s="7" t="s">
        <v>135</v>
      </c>
      <c r="B128" s="7" t="s">
        <v>160</v>
      </c>
      <c r="C128" s="6" t="s">
        <v>164</v>
      </c>
      <c r="D128" s="7" t="s">
        <v>7</v>
      </c>
      <c r="E128" s="7" t="s">
        <v>8</v>
      </c>
      <c r="F128" s="7" t="s">
        <v>8</v>
      </c>
      <c r="G128" s="9">
        <v>22.528242111206055</v>
      </c>
      <c r="H128" s="10">
        <v>22.01032829284668</v>
      </c>
      <c r="I128" s="11" t="s">
        <v>183</v>
      </c>
      <c r="J128" s="12">
        <v>15.875644683837891</v>
      </c>
      <c r="K128" s="13" t="s">
        <v>8</v>
      </c>
      <c r="L128" s="14" t="s">
        <v>8</v>
      </c>
      <c r="M128" s="15" t="s">
        <v>10</v>
      </c>
      <c r="N128" s="15" t="s">
        <v>7</v>
      </c>
      <c r="O128" s="16" t="s">
        <v>8</v>
      </c>
      <c r="P128" s="16">
        <f t="shared" si="6"/>
        <v>0</v>
      </c>
      <c r="Q128" s="16">
        <v>0</v>
      </c>
      <c r="R128" s="16">
        <v>0</v>
      </c>
      <c r="S128" s="16">
        <v>0</v>
      </c>
      <c r="T128" s="16">
        <v>0</v>
      </c>
      <c r="U128" s="16" t="s">
        <v>10</v>
      </c>
      <c r="V128" s="16">
        <f t="shared" si="7"/>
        <v>3</v>
      </c>
      <c r="W128" s="1">
        <v>1</v>
      </c>
      <c r="X128" s="16">
        <v>1</v>
      </c>
      <c r="Y128" s="16">
        <v>1</v>
      </c>
      <c r="Z128" s="1">
        <v>0</v>
      </c>
      <c r="AA128" s="1" t="s">
        <v>289</v>
      </c>
      <c r="AB128" s="1" t="s">
        <v>10</v>
      </c>
      <c r="AD128" s="20" t="s">
        <v>329</v>
      </c>
      <c r="AE128" s="4">
        <v>18.7711894300908</v>
      </c>
    </row>
    <row r="129" spans="1:31" x14ac:dyDescent="0.2">
      <c r="A129" s="7" t="s">
        <v>136</v>
      </c>
      <c r="B129" s="7" t="s">
        <v>160</v>
      </c>
      <c r="C129" s="6" t="s">
        <v>164</v>
      </c>
      <c r="D129" s="7" t="s">
        <v>7</v>
      </c>
      <c r="E129" s="7" t="s">
        <v>8</v>
      </c>
      <c r="F129" s="7" t="s">
        <v>8</v>
      </c>
      <c r="G129" s="9">
        <v>23.696685791015625</v>
      </c>
      <c r="H129" s="10">
        <v>23.019868850708008</v>
      </c>
      <c r="I129" s="11" t="s">
        <v>183</v>
      </c>
      <c r="J129" s="12">
        <v>16.487966537475586</v>
      </c>
      <c r="K129" s="13" t="s">
        <v>8</v>
      </c>
      <c r="L129" s="14" t="s">
        <v>8</v>
      </c>
      <c r="M129" s="15" t="s">
        <v>10</v>
      </c>
      <c r="N129" s="15" t="s">
        <v>7</v>
      </c>
      <c r="O129" s="16" t="s">
        <v>8</v>
      </c>
      <c r="P129" s="16">
        <f t="shared" si="6"/>
        <v>0</v>
      </c>
      <c r="Q129" s="16">
        <v>0</v>
      </c>
      <c r="R129" s="16">
        <v>0</v>
      </c>
      <c r="S129" s="16">
        <v>0</v>
      </c>
      <c r="T129" s="16">
        <v>0</v>
      </c>
      <c r="U129" s="16" t="s">
        <v>10</v>
      </c>
      <c r="V129" s="16">
        <f t="shared" si="7"/>
        <v>3</v>
      </c>
      <c r="W129" s="1">
        <v>1</v>
      </c>
      <c r="X129" s="16">
        <v>1</v>
      </c>
      <c r="Y129" s="16">
        <v>1</v>
      </c>
      <c r="Z129" s="1">
        <v>0</v>
      </c>
      <c r="AA129" s="1" t="s">
        <v>289</v>
      </c>
      <c r="AB129" s="1" t="s">
        <v>10</v>
      </c>
      <c r="AD129" s="20" t="s">
        <v>331</v>
      </c>
      <c r="AE129" s="4">
        <v>5.4895739267196699</v>
      </c>
    </row>
    <row r="130" spans="1:31" x14ac:dyDescent="0.2">
      <c r="A130" s="7" t="s">
        <v>137</v>
      </c>
      <c r="B130" s="7" t="s">
        <v>160</v>
      </c>
      <c r="C130" s="6" t="s">
        <v>164</v>
      </c>
      <c r="D130" s="7" t="s">
        <v>7</v>
      </c>
      <c r="E130" s="7" t="s">
        <v>8</v>
      </c>
      <c r="F130" s="7" t="s">
        <v>8</v>
      </c>
      <c r="G130" s="9">
        <v>23.956745147705078</v>
      </c>
      <c r="H130" s="10">
        <v>23.698554992675781</v>
      </c>
      <c r="I130" s="11" t="s">
        <v>183</v>
      </c>
      <c r="J130" s="12">
        <v>15.787428855895996</v>
      </c>
      <c r="K130" s="13" t="s">
        <v>8</v>
      </c>
      <c r="L130" s="14" t="s">
        <v>7</v>
      </c>
      <c r="M130" s="15" t="s">
        <v>8</v>
      </c>
      <c r="N130" s="15" t="s">
        <v>7</v>
      </c>
      <c r="O130" s="15" t="s">
        <v>8</v>
      </c>
      <c r="P130" s="16">
        <f t="shared" si="6"/>
        <v>0</v>
      </c>
      <c r="Q130" s="16">
        <v>0</v>
      </c>
      <c r="R130" s="16">
        <v>0</v>
      </c>
      <c r="S130" s="16">
        <v>0</v>
      </c>
      <c r="T130" s="16">
        <v>0</v>
      </c>
      <c r="U130" s="16" t="s">
        <v>10</v>
      </c>
      <c r="V130" s="16">
        <f t="shared" si="7"/>
        <v>4</v>
      </c>
      <c r="W130" s="1">
        <v>1</v>
      </c>
      <c r="X130" s="16">
        <v>1</v>
      </c>
      <c r="Y130" s="16">
        <v>1</v>
      </c>
      <c r="Z130" s="1">
        <v>1</v>
      </c>
      <c r="AA130" s="1" t="s">
        <v>289</v>
      </c>
      <c r="AB130" s="1" t="s">
        <v>10</v>
      </c>
      <c r="AD130" s="20" t="s">
        <v>360</v>
      </c>
      <c r="AE130" s="4">
        <v>4.15414947865683</v>
      </c>
    </row>
    <row r="131" spans="1:31" x14ac:dyDescent="0.2">
      <c r="A131" s="7" t="s">
        <v>138</v>
      </c>
      <c r="B131" s="7" t="s">
        <v>160</v>
      </c>
      <c r="C131" s="6" t="s">
        <v>164</v>
      </c>
      <c r="D131" s="7" t="s">
        <v>8</v>
      </c>
      <c r="E131" s="7" t="s">
        <v>10</v>
      </c>
      <c r="F131" s="7" t="s">
        <v>7</v>
      </c>
      <c r="G131" s="9">
        <v>31.00541877746582</v>
      </c>
      <c r="H131" s="10">
        <v>28.900289535522461</v>
      </c>
      <c r="I131" s="11" t="s">
        <v>184</v>
      </c>
      <c r="J131" s="12">
        <v>19.453968048095703</v>
      </c>
      <c r="K131" s="13" t="s">
        <v>7</v>
      </c>
      <c r="L131" s="14" t="s">
        <v>8</v>
      </c>
      <c r="M131" s="15" t="s">
        <v>10</v>
      </c>
      <c r="N131" s="15" t="s">
        <v>8</v>
      </c>
      <c r="O131" s="15" t="s">
        <v>10</v>
      </c>
      <c r="P131" s="16">
        <f t="shared" si="6"/>
        <v>0</v>
      </c>
      <c r="Q131" s="16">
        <v>0</v>
      </c>
      <c r="R131" s="16">
        <v>0</v>
      </c>
      <c r="S131" s="16">
        <v>0</v>
      </c>
      <c r="T131" s="16">
        <v>0</v>
      </c>
      <c r="U131" s="16" t="s">
        <v>10</v>
      </c>
      <c r="V131" s="16">
        <f t="shared" si="7"/>
        <v>0</v>
      </c>
      <c r="W131" s="16">
        <v>0</v>
      </c>
      <c r="X131" s="16">
        <v>0</v>
      </c>
      <c r="Y131" s="16">
        <v>0</v>
      </c>
      <c r="Z131" s="16">
        <v>0</v>
      </c>
      <c r="AA131" s="16" t="s">
        <v>10</v>
      </c>
      <c r="AB131" s="16" t="s">
        <v>10</v>
      </c>
      <c r="AD131" s="20" t="s">
        <v>362</v>
      </c>
      <c r="AE131" s="16" t="s">
        <v>10</v>
      </c>
    </row>
    <row r="132" spans="1:31" x14ac:dyDescent="0.2">
      <c r="A132" s="7" t="s">
        <v>139</v>
      </c>
      <c r="B132" s="7" t="s">
        <v>160</v>
      </c>
      <c r="C132" s="6" t="s">
        <v>164</v>
      </c>
      <c r="D132" s="7" t="s">
        <v>8</v>
      </c>
      <c r="E132" s="7" t="s">
        <v>10</v>
      </c>
      <c r="F132" s="7" t="s">
        <v>7</v>
      </c>
      <c r="G132" s="9">
        <v>27.907421112060547</v>
      </c>
      <c r="H132" s="10">
        <v>27.462942123413086</v>
      </c>
      <c r="I132" s="11" t="s">
        <v>183</v>
      </c>
      <c r="J132" s="12">
        <v>16.874710083007812</v>
      </c>
      <c r="K132" s="13" t="s">
        <v>7</v>
      </c>
      <c r="L132" s="14" t="s">
        <v>8</v>
      </c>
      <c r="M132" s="15" t="s">
        <v>10</v>
      </c>
      <c r="N132" s="15" t="s">
        <v>8</v>
      </c>
      <c r="O132" s="15" t="s">
        <v>10</v>
      </c>
      <c r="P132" s="16">
        <f t="shared" si="6"/>
        <v>0</v>
      </c>
      <c r="Q132" s="16">
        <v>0</v>
      </c>
      <c r="R132" s="16">
        <v>0</v>
      </c>
      <c r="S132" s="16">
        <v>0</v>
      </c>
      <c r="T132" s="16">
        <v>0</v>
      </c>
      <c r="U132" s="16" t="s">
        <v>10</v>
      </c>
      <c r="V132" s="16">
        <f t="shared" si="7"/>
        <v>0</v>
      </c>
      <c r="W132" s="16">
        <v>0</v>
      </c>
      <c r="X132" s="16">
        <v>0</v>
      </c>
      <c r="Y132" s="16">
        <v>0</v>
      </c>
      <c r="Z132" s="16">
        <v>0</v>
      </c>
      <c r="AA132" s="16" t="s">
        <v>10</v>
      </c>
      <c r="AB132" s="16" t="s">
        <v>10</v>
      </c>
      <c r="AD132" s="20" t="s">
        <v>354</v>
      </c>
      <c r="AE132" s="16" t="s">
        <v>10</v>
      </c>
    </row>
    <row r="133" spans="1:31" x14ac:dyDescent="0.2">
      <c r="A133" s="7" t="s">
        <v>140</v>
      </c>
      <c r="B133" s="7" t="s">
        <v>160</v>
      </c>
      <c r="C133" s="6" t="s">
        <v>164</v>
      </c>
      <c r="D133" s="8" t="s">
        <v>7</v>
      </c>
      <c r="E133" s="8" t="s">
        <v>7</v>
      </c>
      <c r="F133" s="7" t="s">
        <v>8</v>
      </c>
      <c r="G133" s="9">
        <v>13.309941291809082</v>
      </c>
      <c r="H133" s="10">
        <v>12.914904594421387</v>
      </c>
      <c r="I133" s="11" t="s">
        <v>183</v>
      </c>
      <c r="J133" s="12">
        <v>17.12153434753418</v>
      </c>
      <c r="K133" s="13" t="s">
        <v>7</v>
      </c>
      <c r="L133" s="14" t="s">
        <v>8</v>
      </c>
      <c r="M133" s="15" t="s">
        <v>10</v>
      </c>
      <c r="N133" s="15" t="s">
        <v>7</v>
      </c>
      <c r="O133" s="15" t="s">
        <v>7</v>
      </c>
      <c r="P133" s="16">
        <f t="shared" si="6"/>
        <v>3</v>
      </c>
      <c r="Q133" s="1">
        <v>1</v>
      </c>
      <c r="R133" s="16">
        <v>1</v>
      </c>
      <c r="S133" s="16">
        <v>1</v>
      </c>
      <c r="T133" s="16">
        <v>0</v>
      </c>
      <c r="U133" s="16" t="s">
        <v>8</v>
      </c>
      <c r="V133" s="16">
        <f t="shared" si="7"/>
        <v>3</v>
      </c>
      <c r="W133" s="1">
        <v>1</v>
      </c>
      <c r="X133" s="16">
        <v>1</v>
      </c>
      <c r="Y133" s="16">
        <v>1</v>
      </c>
      <c r="Z133" s="16">
        <v>0</v>
      </c>
      <c r="AA133" s="16" t="s">
        <v>289</v>
      </c>
      <c r="AB133" s="16" t="s">
        <v>183</v>
      </c>
      <c r="AC133" t="s">
        <v>269</v>
      </c>
      <c r="AD133" s="20" t="s">
        <v>357</v>
      </c>
      <c r="AE133" s="4">
        <v>2310.6523437486198</v>
      </c>
    </row>
    <row r="134" spans="1:31" x14ac:dyDescent="0.2">
      <c r="A134" s="7" t="s">
        <v>141</v>
      </c>
      <c r="B134" s="7" t="s">
        <v>160</v>
      </c>
      <c r="C134" s="6" t="s">
        <v>164</v>
      </c>
      <c r="D134" s="8" t="s">
        <v>7</v>
      </c>
      <c r="E134" s="8" t="s">
        <v>7</v>
      </c>
      <c r="F134" s="7" t="s">
        <v>8</v>
      </c>
      <c r="G134" s="9">
        <v>13.842312812805176</v>
      </c>
      <c r="H134" s="10">
        <v>13.133145332336426</v>
      </c>
      <c r="I134" s="11" t="s">
        <v>183</v>
      </c>
      <c r="J134" s="12">
        <v>16.920780181884766</v>
      </c>
      <c r="K134" s="13" t="s">
        <v>7</v>
      </c>
      <c r="L134" s="14" t="s">
        <v>8</v>
      </c>
      <c r="M134" s="15" t="s">
        <v>8</v>
      </c>
      <c r="N134" s="15" t="s">
        <v>7</v>
      </c>
      <c r="O134" s="15" t="s">
        <v>7</v>
      </c>
      <c r="P134" s="16">
        <f t="shared" si="6"/>
        <v>3</v>
      </c>
      <c r="Q134" s="1">
        <v>1</v>
      </c>
      <c r="R134" s="16">
        <v>1</v>
      </c>
      <c r="S134" s="16">
        <v>1</v>
      </c>
      <c r="T134" s="16">
        <v>0</v>
      </c>
      <c r="U134" s="16" t="s">
        <v>8</v>
      </c>
      <c r="V134" s="16">
        <f t="shared" si="7"/>
        <v>4</v>
      </c>
      <c r="W134" s="1">
        <v>1</v>
      </c>
      <c r="X134" s="16">
        <v>1</v>
      </c>
      <c r="Y134" s="16">
        <v>1</v>
      </c>
      <c r="Z134" s="16">
        <v>1</v>
      </c>
      <c r="AA134" s="16" t="s">
        <v>289</v>
      </c>
      <c r="AB134" s="16" t="s">
        <v>183</v>
      </c>
      <c r="AC134" t="s">
        <v>270</v>
      </c>
      <c r="AD134" s="20" t="s">
        <v>363</v>
      </c>
      <c r="AE134" s="4">
        <v>1969.55149853632</v>
      </c>
    </row>
    <row r="135" spans="1:31" x14ac:dyDescent="0.2">
      <c r="A135" s="6" t="s">
        <v>142</v>
      </c>
      <c r="B135" s="6" t="s">
        <v>163</v>
      </c>
      <c r="C135" s="6" t="s">
        <v>164</v>
      </c>
      <c r="D135" s="8" t="s">
        <v>7</v>
      </c>
      <c r="E135" s="8" t="s">
        <v>8</v>
      </c>
      <c r="F135" s="7" t="s">
        <v>8</v>
      </c>
      <c r="G135" s="9">
        <v>23.446128845214844</v>
      </c>
      <c r="H135" s="10">
        <v>25.827730178833008</v>
      </c>
      <c r="I135" s="11" t="s">
        <v>183</v>
      </c>
      <c r="J135" s="12">
        <v>25.561826705932617</v>
      </c>
      <c r="K135" s="13" t="s">
        <v>8</v>
      </c>
      <c r="L135" s="14" t="s">
        <v>7</v>
      </c>
      <c r="M135" s="15" t="s">
        <v>7</v>
      </c>
      <c r="N135" s="15" t="s">
        <v>7</v>
      </c>
      <c r="O135" s="16" t="s">
        <v>8</v>
      </c>
      <c r="P135" s="16">
        <f t="shared" si="6"/>
        <v>3</v>
      </c>
      <c r="Q135" s="1">
        <v>0</v>
      </c>
      <c r="R135" s="16">
        <v>1</v>
      </c>
      <c r="S135" s="16">
        <v>1</v>
      </c>
      <c r="T135" s="1">
        <v>1</v>
      </c>
      <c r="U135" s="1" t="s">
        <v>8</v>
      </c>
      <c r="V135" s="16">
        <f t="shared" si="7"/>
        <v>4</v>
      </c>
      <c r="W135" s="1">
        <v>1</v>
      </c>
      <c r="X135" s="16">
        <v>1</v>
      </c>
      <c r="Y135" s="16">
        <v>1</v>
      </c>
      <c r="Z135" s="16">
        <v>1</v>
      </c>
      <c r="AA135" s="16" t="s">
        <v>289</v>
      </c>
      <c r="AB135" s="16" t="s">
        <v>183</v>
      </c>
      <c r="AC135" t="s">
        <v>273</v>
      </c>
      <c r="AD135" s="20" t="s">
        <v>379</v>
      </c>
      <c r="AE135" s="5">
        <v>52.471146970462399</v>
      </c>
    </row>
    <row r="136" spans="1:31" x14ac:dyDescent="0.2">
      <c r="A136" s="6" t="s">
        <v>143</v>
      </c>
      <c r="B136" s="6" t="s">
        <v>163</v>
      </c>
      <c r="C136" s="6" t="s">
        <v>164</v>
      </c>
      <c r="D136" s="8" t="s">
        <v>7</v>
      </c>
      <c r="E136" s="8" t="s">
        <v>7</v>
      </c>
      <c r="F136" s="7" t="s">
        <v>8</v>
      </c>
      <c r="G136" s="9">
        <v>20.237537384033203</v>
      </c>
      <c r="H136" s="10">
        <v>18.504602432250977</v>
      </c>
      <c r="I136" s="11" t="s">
        <v>183</v>
      </c>
      <c r="J136" s="12">
        <v>20.310409545898438</v>
      </c>
      <c r="K136" s="13" t="s">
        <v>7</v>
      </c>
      <c r="L136" s="14" t="s">
        <v>7</v>
      </c>
      <c r="M136" s="15" t="s">
        <v>7</v>
      </c>
      <c r="N136" s="15" t="s">
        <v>7</v>
      </c>
      <c r="O136" s="15" t="s">
        <v>7</v>
      </c>
      <c r="P136" s="16">
        <f t="shared" si="6"/>
        <v>4</v>
      </c>
      <c r="Q136" s="1">
        <v>1</v>
      </c>
      <c r="R136" s="16">
        <v>1</v>
      </c>
      <c r="S136" s="16">
        <v>1</v>
      </c>
      <c r="T136" s="1">
        <v>1</v>
      </c>
      <c r="U136" s="1" t="s">
        <v>8</v>
      </c>
      <c r="V136" s="16">
        <f t="shared" si="7"/>
        <v>5</v>
      </c>
      <c r="W136" s="1">
        <v>1</v>
      </c>
      <c r="X136" s="16">
        <v>1</v>
      </c>
      <c r="Y136" s="16">
        <v>1</v>
      </c>
      <c r="Z136" s="16">
        <v>2</v>
      </c>
      <c r="AA136" s="16" t="s">
        <v>288</v>
      </c>
      <c r="AB136" s="16" t="s">
        <v>183</v>
      </c>
      <c r="AC136" t="s">
        <v>278</v>
      </c>
      <c r="AD136" s="20" t="s">
        <v>364</v>
      </c>
      <c r="AE136" s="5">
        <v>475.17022869324802</v>
      </c>
    </row>
    <row r="137" spans="1:31" x14ac:dyDescent="0.2">
      <c r="A137" s="6" t="s">
        <v>144</v>
      </c>
      <c r="B137" s="6" t="s">
        <v>163</v>
      </c>
      <c r="C137" s="6" t="s">
        <v>164</v>
      </c>
      <c r="D137" s="8" t="s">
        <v>7</v>
      </c>
      <c r="E137" s="8" t="s">
        <v>8</v>
      </c>
      <c r="F137" s="7" t="s">
        <v>8</v>
      </c>
      <c r="G137" s="9">
        <v>11.108306884765625</v>
      </c>
      <c r="H137" s="10">
        <v>11.346733093261719</v>
      </c>
      <c r="I137" s="11" t="s">
        <v>183</v>
      </c>
      <c r="J137" s="12">
        <v>22.654106140136719</v>
      </c>
      <c r="K137" s="13" t="s">
        <v>8</v>
      </c>
      <c r="L137" s="14" t="s">
        <v>7</v>
      </c>
      <c r="M137" s="15" t="s">
        <v>7</v>
      </c>
      <c r="N137" s="15" t="s">
        <v>7</v>
      </c>
      <c r="O137" s="15" t="s">
        <v>7</v>
      </c>
      <c r="P137" s="16">
        <f t="shared" si="6"/>
        <v>4</v>
      </c>
      <c r="Q137" s="1">
        <v>1</v>
      </c>
      <c r="R137" s="1">
        <v>1</v>
      </c>
      <c r="S137" s="1">
        <v>1</v>
      </c>
      <c r="T137" s="1">
        <v>1</v>
      </c>
      <c r="U137" s="1" t="s">
        <v>8</v>
      </c>
      <c r="V137" s="16">
        <f t="shared" si="7"/>
        <v>4</v>
      </c>
      <c r="W137" s="1">
        <v>1</v>
      </c>
      <c r="X137" s="1">
        <v>1</v>
      </c>
      <c r="Y137" s="1">
        <v>1</v>
      </c>
      <c r="Z137" s="1">
        <v>1</v>
      </c>
      <c r="AA137" s="1" t="s">
        <v>289</v>
      </c>
      <c r="AB137" s="1" t="s">
        <v>183</v>
      </c>
      <c r="AC137" t="s">
        <v>274</v>
      </c>
      <c r="AD137" s="20" t="s">
        <v>358</v>
      </c>
      <c r="AE137" s="4">
        <v>52234.448547410902</v>
      </c>
    </row>
    <row r="138" spans="1:31" x14ac:dyDescent="0.2">
      <c r="A138" s="6" t="s">
        <v>145</v>
      </c>
      <c r="B138" s="6" t="s">
        <v>163</v>
      </c>
      <c r="C138" s="6" t="s">
        <v>164</v>
      </c>
      <c r="D138" s="8" t="s">
        <v>7</v>
      </c>
      <c r="E138" s="8" t="s">
        <v>7</v>
      </c>
      <c r="F138" s="7" t="s">
        <v>8</v>
      </c>
      <c r="G138" s="9">
        <v>15.761326789855957</v>
      </c>
      <c r="H138" s="10">
        <v>14.768697738647461</v>
      </c>
      <c r="I138" s="11" t="s">
        <v>183</v>
      </c>
      <c r="J138" s="12">
        <v>19.096296310424805</v>
      </c>
      <c r="K138" s="13" t="s">
        <v>7</v>
      </c>
      <c r="L138" s="14" t="s">
        <v>7</v>
      </c>
      <c r="M138" s="15" t="s">
        <v>7</v>
      </c>
      <c r="N138" s="15" t="s">
        <v>7</v>
      </c>
      <c r="O138" s="15" t="s">
        <v>7</v>
      </c>
      <c r="P138" s="16">
        <f t="shared" si="6"/>
        <v>4</v>
      </c>
      <c r="Q138" s="1">
        <v>1</v>
      </c>
      <c r="R138" s="1">
        <v>1</v>
      </c>
      <c r="S138" s="1">
        <v>1</v>
      </c>
      <c r="T138" s="1">
        <v>1</v>
      </c>
      <c r="U138" s="1" t="s">
        <v>8</v>
      </c>
      <c r="V138" s="16">
        <f t="shared" si="7"/>
        <v>6</v>
      </c>
      <c r="W138" s="1">
        <v>1</v>
      </c>
      <c r="X138" s="1">
        <v>2</v>
      </c>
      <c r="Y138" s="1">
        <v>1</v>
      </c>
      <c r="Z138" s="1">
        <v>2</v>
      </c>
      <c r="AA138" s="1" t="s">
        <v>288</v>
      </c>
      <c r="AB138" s="1" t="s">
        <v>183</v>
      </c>
      <c r="AC138" t="s">
        <v>275</v>
      </c>
      <c r="AD138" s="20" t="s">
        <v>376</v>
      </c>
      <c r="AE138" s="4">
        <v>10590.8331368583</v>
      </c>
    </row>
    <row r="139" spans="1:31" x14ac:dyDescent="0.2">
      <c r="A139" s="6" t="s">
        <v>146</v>
      </c>
      <c r="B139" s="6" t="s">
        <v>163</v>
      </c>
      <c r="C139" s="6" t="s">
        <v>164</v>
      </c>
      <c r="D139" s="8" t="s">
        <v>7</v>
      </c>
      <c r="E139" s="8" t="s">
        <v>7</v>
      </c>
      <c r="F139" s="7" t="s">
        <v>8</v>
      </c>
      <c r="G139" s="9">
        <v>22.435314178466797</v>
      </c>
      <c r="H139" s="10">
        <v>18.712274551391602</v>
      </c>
      <c r="I139" s="11" t="s">
        <v>183</v>
      </c>
      <c r="J139" s="12">
        <v>20.669912338256836</v>
      </c>
      <c r="K139" s="13" t="s">
        <v>7</v>
      </c>
      <c r="L139" s="14" t="s">
        <v>7</v>
      </c>
      <c r="M139" s="15" t="s">
        <v>7</v>
      </c>
      <c r="N139" s="15" t="s">
        <v>7</v>
      </c>
      <c r="O139" s="15" t="s">
        <v>7</v>
      </c>
      <c r="P139" s="16">
        <f t="shared" si="6"/>
        <v>7</v>
      </c>
      <c r="Q139" s="1">
        <v>2</v>
      </c>
      <c r="R139" s="1">
        <v>2</v>
      </c>
      <c r="S139" s="1">
        <v>2</v>
      </c>
      <c r="T139" s="1">
        <v>1</v>
      </c>
      <c r="U139" s="1" t="s">
        <v>7</v>
      </c>
      <c r="V139" s="16">
        <f t="shared" si="7"/>
        <v>7</v>
      </c>
      <c r="W139" s="1">
        <v>2</v>
      </c>
      <c r="X139" s="1">
        <v>2</v>
      </c>
      <c r="Y139" s="1">
        <v>2</v>
      </c>
      <c r="Z139" s="1">
        <v>1</v>
      </c>
      <c r="AA139" s="1" t="s">
        <v>288</v>
      </c>
      <c r="AB139" s="1" t="s">
        <v>292</v>
      </c>
      <c r="AC139" t="s">
        <v>276</v>
      </c>
      <c r="AD139" s="20" t="s">
        <v>372</v>
      </c>
      <c r="AE139" s="4">
        <v>1254.2809569183401</v>
      </c>
    </row>
    <row r="140" spans="1:31" x14ac:dyDescent="0.2">
      <c r="A140" s="6" t="s">
        <v>147</v>
      </c>
      <c r="B140" s="6" t="s">
        <v>163</v>
      </c>
      <c r="C140" s="6" t="s">
        <v>164</v>
      </c>
      <c r="D140" s="8" t="s">
        <v>7</v>
      </c>
      <c r="E140" s="8" t="s">
        <v>7</v>
      </c>
      <c r="F140" s="7" t="s">
        <v>8</v>
      </c>
      <c r="G140" s="9">
        <v>28.293403625488281</v>
      </c>
      <c r="H140" s="10">
        <v>21.601634979248047</v>
      </c>
      <c r="I140" s="11" t="s">
        <v>183</v>
      </c>
      <c r="J140" s="31">
        <v>26.92</v>
      </c>
      <c r="K140" s="13" t="s">
        <v>7</v>
      </c>
      <c r="L140" s="14" t="s">
        <v>7</v>
      </c>
      <c r="M140" s="15" t="s">
        <v>7</v>
      </c>
      <c r="N140" s="15" t="s">
        <v>7</v>
      </c>
      <c r="O140" s="16" t="s">
        <v>8</v>
      </c>
      <c r="P140" s="16">
        <f t="shared" si="6"/>
        <v>2</v>
      </c>
      <c r="Q140" s="1">
        <v>0</v>
      </c>
      <c r="R140" s="1">
        <v>1</v>
      </c>
      <c r="S140" s="1">
        <v>0</v>
      </c>
      <c r="T140" s="1">
        <v>1</v>
      </c>
      <c r="U140" s="1" t="s">
        <v>8</v>
      </c>
      <c r="V140" s="16">
        <f t="shared" si="7"/>
        <v>5</v>
      </c>
      <c r="W140" s="1">
        <v>1</v>
      </c>
      <c r="X140" s="1">
        <v>2</v>
      </c>
      <c r="Y140" s="1">
        <v>1</v>
      </c>
      <c r="Z140" s="1">
        <v>1</v>
      </c>
      <c r="AA140" s="1" t="s">
        <v>288</v>
      </c>
      <c r="AB140" s="1" t="s">
        <v>292</v>
      </c>
      <c r="AC140" t="s">
        <v>469</v>
      </c>
      <c r="AD140" s="20" t="s">
        <v>367</v>
      </c>
      <c r="AE140" s="4">
        <v>18.4358886901868</v>
      </c>
    </row>
    <row r="141" spans="1:31" x14ac:dyDescent="0.2">
      <c r="A141" s="6" t="s">
        <v>148</v>
      </c>
      <c r="B141" s="6" t="s">
        <v>163</v>
      </c>
      <c r="C141" s="6" t="s">
        <v>164</v>
      </c>
      <c r="D141" s="8" t="s">
        <v>7</v>
      </c>
      <c r="E141" s="8" t="s">
        <v>7</v>
      </c>
      <c r="F141" s="7" t="s">
        <v>8</v>
      </c>
      <c r="G141" s="9">
        <v>13.166192054748535</v>
      </c>
      <c r="H141" s="10">
        <v>11.794195175170898</v>
      </c>
      <c r="I141" s="11" t="s">
        <v>183</v>
      </c>
      <c r="J141" s="12">
        <v>23.146303176879883</v>
      </c>
      <c r="K141" s="13" t="s">
        <v>7</v>
      </c>
      <c r="L141" s="14" t="s">
        <v>7</v>
      </c>
      <c r="M141" s="15" t="s">
        <v>7</v>
      </c>
      <c r="N141" s="15" t="s">
        <v>7</v>
      </c>
      <c r="O141" s="16" t="s">
        <v>8</v>
      </c>
      <c r="P141" s="16">
        <f t="shared" si="6"/>
        <v>4</v>
      </c>
      <c r="Q141" s="1">
        <v>1</v>
      </c>
      <c r="R141" s="1">
        <v>1</v>
      </c>
      <c r="S141" s="1">
        <v>1</v>
      </c>
      <c r="T141" s="1">
        <v>1</v>
      </c>
      <c r="U141" s="1" t="s">
        <v>8</v>
      </c>
      <c r="V141" s="16">
        <f t="shared" si="7"/>
        <v>7</v>
      </c>
      <c r="W141" s="1">
        <v>1</v>
      </c>
      <c r="X141" s="1">
        <v>2</v>
      </c>
      <c r="Y141" s="1">
        <v>2</v>
      </c>
      <c r="Z141" s="1">
        <v>2</v>
      </c>
      <c r="AA141" s="1" t="s">
        <v>288</v>
      </c>
      <c r="AB141" s="1" t="s">
        <v>183</v>
      </c>
      <c r="AC141" t="s">
        <v>277</v>
      </c>
      <c r="AD141" s="20" t="s">
        <v>368</v>
      </c>
      <c r="AE141" s="5">
        <v>42525.030885981898</v>
      </c>
    </row>
    <row r="142" spans="1:31" x14ac:dyDescent="0.2">
      <c r="A142" s="6" t="s">
        <v>149</v>
      </c>
      <c r="B142" s="6" t="s">
        <v>163</v>
      </c>
      <c r="C142" s="6" t="s">
        <v>164</v>
      </c>
      <c r="D142" s="8" t="s">
        <v>7</v>
      </c>
      <c r="E142" s="8" t="s">
        <v>7</v>
      </c>
      <c r="F142" s="7" t="s">
        <v>8</v>
      </c>
      <c r="G142" s="9">
        <v>12.406154632568359</v>
      </c>
      <c r="H142" s="10">
        <v>10.235311508178711</v>
      </c>
      <c r="I142" s="11" t="s">
        <v>183</v>
      </c>
      <c r="J142" s="12">
        <v>20.794893264770508</v>
      </c>
      <c r="K142" s="13" t="s">
        <v>7</v>
      </c>
      <c r="L142" s="14" t="s">
        <v>7</v>
      </c>
      <c r="M142" s="15" t="s">
        <v>7</v>
      </c>
      <c r="N142" s="15" t="s">
        <v>7</v>
      </c>
      <c r="O142" s="15" t="s">
        <v>7</v>
      </c>
      <c r="P142" s="16">
        <f t="shared" si="6"/>
        <v>4</v>
      </c>
      <c r="Q142" s="1">
        <v>1</v>
      </c>
      <c r="R142" s="1">
        <v>1</v>
      </c>
      <c r="S142" s="1">
        <v>1</v>
      </c>
      <c r="T142" s="1">
        <v>1</v>
      </c>
      <c r="U142" s="1" t="s">
        <v>8</v>
      </c>
      <c r="V142" s="16">
        <f t="shared" si="7"/>
        <v>6</v>
      </c>
      <c r="W142" s="1">
        <v>1</v>
      </c>
      <c r="X142" s="1">
        <v>1</v>
      </c>
      <c r="Y142" s="1">
        <v>2</v>
      </c>
      <c r="Z142" s="1">
        <v>2</v>
      </c>
      <c r="AA142" s="1" t="s">
        <v>288</v>
      </c>
      <c r="AB142" s="1" t="s">
        <v>183</v>
      </c>
      <c r="AC142" t="s">
        <v>280</v>
      </c>
      <c r="AD142" s="20" t="s">
        <v>373</v>
      </c>
      <c r="AE142" s="4">
        <v>110903.51189532199</v>
      </c>
    </row>
    <row r="143" spans="1:31" x14ac:dyDescent="0.2">
      <c r="A143" s="6" t="s">
        <v>150</v>
      </c>
      <c r="B143" s="6" t="s">
        <v>163</v>
      </c>
      <c r="C143" s="6" t="s">
        <v>164</v>
      </c>
      <c r="D143" s="8" t="s">
        <v>7</v>
      </c>
      <c r="E143" s="8" t="s">
        <v>7</v>
      </c>
      <c r="F143" s="7" t="s">
        <v>8</v>
      </c>
      <c r="G143" s="9">
        <v>26.697927474975586</v>
      </c>
      <c r="H143" s="10">
        <v>23.465139389038086</v>
      </c>
      <c r="I143" s="11" t="s">
        <v>183</v>
      </c>
      <c r="J143" s="12">
        <v>24.773891448974609</v>
      </c>
      <c r="K143" s="13" t="s">
        <v>7</v>
      </c>
      <c r="L143" s="14" t="s">
        <v>7</v>
      </c>
      <c r="M143" s="15" t="s">
        <v>7</v>
      </c>
      <c r="N143" s="15" t="s">
        <v>7</v>
      </c>
      <c r="O143" s="15" t="s">
        <v>8</v>
      </c>
      <c r="P143" s="16">
        <f t="shared" si="6"/>
        <v>3</v>
      </c>
      <c r="Q143" s="1">
        <v>0</v>
      </c>
      <c r="R143" s="1">
        <v>1</v>
      </c>
      <c r="S143" s="1">
        <v>1</v>
      </c>
      <c r="T143" s="1">
        <v>1</v>
      </c>
      <c r="U143" s="1" t="s">
        <v>8</v>
      </c>
      <c r="V143" s="16">
        <f t="shared" si="7"/>
        <v>6</v>
      </c>
      <c r="W143" s="1">
        <v>1</v>
      </c>
      <c r="X143" s="1">
        <v>1</v>
      </c>
      <c r="Y143" s="1">
        <v>2</v>
      </c>
      <c r="Z143" s="1">
        <v>2</v>
      </c>
      <c r="AA143" s="1" t="s">
        <v>288</v>
      </c>
      <c r="AB143" s="1" t="s">
        <v>183</v>
      </c>
      <c r="AC143" t="s">
        <v>281</v>
      </c>
      <c r="AD143" s="20" t="s">
        <v>385</v>
      </c>
      <c r="AE143" s="4">
        <v>80.305522237306903</v>
      </c>
    </row>
    <row r="144" spans="1:31" x14ac:dyDescent="0.2">
      <c r="A144" s="6" t="s">
        <v>151</v>
      </c>
      <c r="B144" s="6" t="s">
        <v>163</v>
      </c>
      <c r="C144" s="6" t="s">
        <v>164</v>
      </c>
      <c r="D144" s="8" t="s">
        <v>7</v>
      </c>
      <c r="E144" s="8" t="s">
        <v>7</v>
      </c>
      <c r="F144" s="7" t="s">
        <v>8</v>
      </c>
      <c r="G144" s="9">
        <v>21.868898391723633</v>
      </c>
      <c r="H144" s="10">
        <v>20.345460891723633</v>
      </c>
      <c r="I144" s="11" t="s">
        <v>183</v>
      </c>
      <c r="J144" s="12">
        <v>22.557760238647461</v>
      </c>
      <c r="K144" s="13" t="s">
        <v>7</v>
      </c>
      <c r="L144" s="14" t="s">
        <v>7</v>
      </c>
      <c r="M144" s="15" t="s">
        <v>7</v>
      </c>
      <c r="N144" s="15" t="s">
        <v>7</v>
      </c>
      <c r="O144" s="16" t="s">
        <v>8</v>
      </c>
      <c r="P144" s="16">
        <f t="shared" si="6"/>
        <v>4</v>
      </c>
      <c r="Q144" s="1">
        <v>1</v>
      </c>
      <c r="R144" s="1">
        <v>1</v>
      </c>
      <c r="S144" s="1">
        <v>1</v>
      </c>
      <c r="T144" s="1">
        <v>1</v>
      </c>
      <c r="U144" s="1" t="s">
        <v>8</v>
      </c>
      <c r="V144" s="16">
        <f t="shared" si="7"/>
        <v>4</v>
      </c>
      <c r="W144" s="1">
        <v>1</v>
      </c>
      <c r="X144" s="1">
        <v>1</v>
      </c>
      <c r="Y144" s="1">
        <v>1</v>
      </c>
      <c r="Z144" s="1">
        <v>1</v>
      </c>
      <c r="AA144" s="1" t="s">
        <v>289</v>
      </c>
      <c r="AB144" s="1" t="s">
        <v>183</v>
      </c>
      <c r="AC144" t="s">
        <v>282</v>
      </c>
      <c r="AD144" s="20" t="s">
        <v>375</v>
      </c>
      <c r="AE144" s="4">
        <v>84.194360035667501</v>
      </c>
    </row>
    <row r="145" spans="1:31" x14ac:dyDescent="0.2">
      <c r="A145" s="6" t="s">
        <v>152</v>
      </c>
      <c r="B145" s="6" t="s">
        <v>163</v>
      </c>
      <c r="C145" s="6" t="s">
        <v>164</v>
      </c>
      <c r="D145" s="8" t="s">
        <v>7</v>
      </c>
      <c r="E145" s="8" t="s">
        <v>8</v>
      </c>
      <c r="F145" s="7" t="s">
        <v>8</v>
      </c>
      <c r="G145" s="9">
        <v>13.570061683654785</v>
      </c>
      <c r="H145" s="10">
        <v>12.292123794555664</v>
      </c>
      <c r="I145" s="11" t="s">
        <v>183</v>
      </c>
      <c r="J145" s="12">
        <v>22.887153625488281</v>
      </c>
      <c r="K145" s="13" t="s">
        <v>8</v>
      </c>
      <c r="L145" s="14" t="s">
        <v>7</v>
      </c>
      <c r="M145" s="15" t="s">
        <v>8</v>
      </c>
      <c r="N145" s="15" t="s">
        <v>7</v>
      </c>
      <c r="O145" s="15" t="s">
        <v>7</v>
      </c>
      <c r="P145" s="16">
        <f t="shared" si="6"/>
        <v>3</v>
      </c>
      <c r="Q145" s="1">
        <v>1</v>
      </c>
      <c r="R145" s="1">
        <v>1</v>
      </c>
      <c r="S145" s="1">
        <v>1</v>
      </c>
      <c r="T145" s="1">
        <v>0</v>
      </c>
      <c r="U145" s="1" t="s">
        <v>8</v>
      </c>
      <c r="V145" s="16">
        <f t="shared" si="7"/>
        <v>5</v>
      </c>
      <c r="W145" s="1">
        <v>1</v>
      </c>
      <c r="X145" s="1">
        <v>1</v>
      </c>
      <c r="Y145" s="1">
        <v>1</v>
      </c>
      <c r="Z145" s="1">
        <v>2</v>
      </c>
      <c r="AA145" s="1" t="s">
        <v>288</v>
      </c>
      <c r="AB145" s="1" t="s">
        <v>183</v>
      </c>
      <c r="AC145" t="s">
        <v>283</v>
      </c>
      <c r="AD145" s="20" t="s">
        <v>395</v>
      </c>
      <c r="AE145" s="4">
        <v>58329.871307614601</v>
      </c>
    </row>
    <row r="146" spans="1:31" x14ac:dyDescent="0.2">
      <c r="A146" s="6" t="s">
        <v>153</v>
      </c>
      <c r="B146" s="6" t="s">
        <v>163</v>
      </c>
      <c r="C146" s="6" t="s">
        <v>164</v>
      </c>
      <c r="D146" s="8" t="s">
        <v>7</v>
      </c>
      <c r="E146" s="8" t="s">
        <v>7</v>
      </c>
      <c r="F146" s="7" t="s">
        <v>8</v>
      </c>
      <c r="G146" s="9">
        <v>21.7687892913818</v>
      </c>
      <c r="H146" s="10">
        <v>20.377195358276399</v>
      </c>
      <c r="I146" s="11" t="s">
        <v>183</v>
      </c>
      <c r="J146" s="12">
        <v>24.187526702880859</v>
      </c>
      <c r="K146" s="13" t="s">
        <v>7</v>
      </c>
      <c r="L146" s="14" t="s">
        <v>7</v>
      </c>
      <c r="M146" s="15" t="s">
        <v>7</v>
      </c>
      <c r="N146" s="15" t="s">
        <v>7</v>
      </c>
      <c r="O146" s="15" t="s">
        <v>7</v>
      </c>
      <c r="P146" s="16">
        <f t="shared" si="6"/>
        <v>4</v>
      </c>
      <c r="Q146" s="1">
        <v>1</v>
      </c>
      <c r="R146" s="1">
        <v>1</v>
      </c>
      <c r="S146" s="1">
        <v>1</v>
      </c>
      <c r="T146" s="1">
        <v>1</v>
      </c>
      <c r="U146" s="1" t="s">
        <v>8</v>
      </c>
      <c r="V146" s="16">
        <f t="shared" si="7"/>
        <v>6</v>
      </c>
      <c r="W146" s="1">
        <v>1</v>
      </c>
      <c r="X146" s="1">
        <v>1</v>
      </c>
      <c r="Y146" s="1">
        <v>2</v>
      </c>
      <c r="Z146" s="1">
        <v>2</v>
      </c>
      <c r="AA146" s="1" t="s">
        <v>288</v>
      </c>
      <c r="AB146" s="1" t="s">
        <v>292</v>
      </c>
      <c r="AC146" t="s">
        <v>470</v>
      </c>
      <c r="AD146" s="20" t="s">
        <v>391</v>
      </c>
      <c r="AE146" s="4">
        <v>899.04928444147697</v>
      </c>
    </row>
    <row r="147" spans="1:31" x14ac:dyDescent="0.2">
      <c r="A147" s="6" t="s">
        <v>154</v>
      </c>
      <c r="B147" s="6" t="s">
        <v>163</v>
      </c>
      <c r="C147" s="6" t="s">
        <v>164</v>
      </c>
      <c r="D147" s="8" t="s">
        <v>7</v>
      </c>
      <c r="E147" s="8" t="s">
        <v>7</v>
      </c>
      <c r="F147" s="7" t="s">
        <v>8</v>
      </c>
      <c r="G147" s="9">
        <v>23.279169082641602</v>
      </c>
      <c r="H147" s="10">
        <v>24.296541213989258</v>
      </c>
      <c r="I147" s="11" t="s">
        <v>183</v>
      </c>
      <c r="J147" s="12">
        <v>24.869829177856445</v>
      </c>
      <c r="K147" s="13" t="s">
        <v>7</v>
      </c>
      <c r="L147" s="14" t="s">
        <v>7</v>
      </c>
      <c r="M147" s="15" t="s">
        <v>7</v>
      </c>
      <c r="N147" s="15" t="s">
        <v>7</v>
      </c>
      <c r="O147" s="15" t="s">
        <v>7</v>
      </c>
      <c r="P147" s="16">
        <f t="shared" si="6"/>
        <v>4</v>
      </c>
      <c r="Q147" s="1">
        <v>1</v>
      </c>
      <c r="R147" s="1">
        <v>1</v>
      </c>
      <c r="S147" s="1">
        <v>1</v>
      </c>
      <c r="T147" s="1">
        <v>1</v>
      </c>
      <c r="U147" s="1" t="s">
        <v>8</v>
      </c>
      <c r="V147" s="16">
        <f t="shared" si="7"/>
        <v>4</v>
      </c>
      <c r="W147" s="1">
        <v>1</v>
      </c>
      <c r="X147" s="1">
        <v>1</v>
      </c>
      <c r="Y147" s="1">
        <v>1</v>
      </c>
      <c r="Z147" s="1">
        <v>1</v>
      </c>
      <c r="AA147" s="1" t="s">
        <v>289</v>
      </c>
      <c r="AB147" s="1" t="s">
        <v>183</v>
      </c>
      <c r="AC147" t="s">
        <v>279</v>
      </c>
      <c r="AD147" s="20" t="s">
        <v>394</v>
      </c>
      <c r="AE147" s="4">
        <v>43.383302519946099</v>
      </c>
    </row>
    <row r="148" spans="1:31" x14ac:dyDescent="0.2">
      <c r="A148" s="7" t="s">
        <v>155</v>
      </c>
      <c r="B148" s="7" t="s">
        <v>160</v>
      </c>
      <c r="C148" s="6" t="s">
        <v>164</v>
      </c>
      <c r="D148" s="8" t="s">
        <v>7</v>
      </c>
      <c r="E148" s="8" t="s">
        <v>8</v>
      </c>
      <c r="F148" s="7" t="s">
        <v>7</v>
      </c>
      <c r="G148" s="9">
        <v>27.725500106811523</v>
      </c>
      <c r="H148" s="18">
        <v>27.296131134033203</v>
      </c>
      <c r="I148" s="11" t="s">
        <v>183</v>
      </c>
      <c r="J148" s="12">
        <v>15.387944221496582</v>
      </c>
      <c r="K148" s="13" t="s">
        <v>7</v>
      </c>
      <c r="L148" s="14" t="s">
        <v>7</v>
      </c>
      <c r="M148" s="15" t="s">
        <v>8</v>
      </c>
      <c r="N148" s="15" t="s">
        <v>7</v>
      </c>
      <c r="O148" s="15" t="s">
        <v>8</v>
      </c>
      <c r="P148" s="16">
        <f t="shared" si="6"/>
        <v>0</v>
      </c>
      <c r="Q148" s="16">
        <v>0</v>
      </c>
      <c r="R148" s="16">
        <v>0</v>
      </c>
      <c r="S148" s="16">
        <v>0</v>
      </c>
      <c r="T148" s="16">
        <v>0</v>
      </c>
      <c r="U148" s="16" t="s">
        <v>10</v>
      </c>
      <c r="V148" s="16">
        <f t="shared" si="7"/>
        <v>3</v>
      </c>
      <c r="W148" s="1">
        <v>1</v>
      </c>
      <c r="X148" s="1">
        <v>0</v>
      </c>
      <c r="Y148" s="1">
        <v>1</v>
      </c>
      <c r="Z148" s="1">
        <v>1</v>
      </c>
      <c r="AA148" s="1" t="s">
        <v>289</v>
      </c>
      <c r="AB148" s="1" t="s">
        <v>10</v>
      </c>
      <c r="AD148" s="20" t="s">
        <v>390</v>
      </c>
      <c r="AE148" s="5">
        <v>0.28514224149631701</v>
      </c>
    </row>
    <row r="149" spans="1:31" x14ac:dyDescent="0.2">
      <c r="A149" s="7" t="s">
        <v>156</v>
      </c>
      <c r="B149" s="7" t="s">
        <v>160</v>
      </c>
      <c r="C149" s="6" t="s">
        <v>164</v>
      </c>
      <c r="D149" s="8" t="s">
        <v>7</v>
      </c>
      <c r="E149" s="8" t="s">
        <v>7</v>
      </c>
      <c r="F149" s="7" t="s">
        <v>8</v>
      </c>
      <c r="G149" s="9">
        <v>33.531318664550781</v>
      </c>
      <c r="H149" s="18">
        <v>17.979663848876953</v>
      </c>
      <c r="I149" s="11" t="s">
        <v>184</v>
      </c>
      <c r="J149" s="12">
        <v>14.877009391784668</v>
      </c>
      <c r="K149" s="13" t="s">
        <v>7</v>
      </c>
      <c r="L149" s="14" t="s">
        <v>8</v>
      </c>
      <c r="M149" s="15" t="s">
        <v>10</v>
      </c>
      <c r="N149" s="15" t="s">
        <v>7</v>
      </c>
      <c r="O149" s="15" t="s">
        <v>7</v>
      </c>
      <c r="P149" s="16">
        <f t="shared" si="6"/>
        <v>4</v>
      </c>
      <c r="Q149" s="1">
        <v>1</v>
      </c>
      <c r="R149" s="1">
        <v>1</v>
      </c>
      <c r="S149" s="1">
        <v>2</v>
      </c>
      <c r="T149" s="1">
        <v>0</v>
      </c>
      <c r="U149" s="1" t="s">
        <v>7</v>
      </c>
      <c r="V149" s="16">
        <f t="shared" si="7"/>
        <v>4</v>
      </c>
      <c r="W149" s="1">
        <v>1</v>
      </c>
      <c r="X149" s="1">
        <v>1</v>
      </c>
      <c r="Y149" s="1">
        <v>2</v>
      </c>
      <c r="Z149" s="1">
        <v>0</v>
      </c>
      <c r="AA149" s="1" t="s">
        <v>288</v>
      </c>
      <c r="AB149" s="1" t="s">
        <v>184</v>
      </c>
      <c r="AC149" t="s">
        <v>188</v>
      </c>
      <c r="AD149" s="20" t="s">
        <v>396</v>
      </c>
      <c r="AE149" s="4">
        <v>230.64079147299</v>
      </c>
    </row>
    <row r="150" spans="1:31" x14ac:dyDescent="0.2">
      <c r="A150" s="7" t="s">
        <v>157</v>
      </c>
      <c r="B150" s="7" t="s">
        <v>160</v>
      </c>
      <c r="C150" s="6" t="s">
        <v>164</v>
      </c>
      <c r="D150" s="8" t="s">
        <v>8</v>
      </c>
      <c r="E150" s="8" t="s">
        <v>10</v>
      </c>
      <c r="F150" s="7" t="s">
        <v>7</v>
      </c>
      <c r="G150" s="9">
        <v>28.555776596069336</v>
      </c>
      <c r="H150" s="18">
        <v>27.197526931762695</v>
      </c>
      <c r="I150" s="11" t="s">
        <v>183</v>
      </c>
      <c r="J150" s="12">
        <v>12.559382438659668</v>
      </c>
      <c r="K150" s="13" t="s">
        <v>7</v>
      </c>
      <c r="L150" s="14" t="s">
        <v>8</v>
      </c>
      <c r="M150" s="15" t="s">
        <v>10</v>
      </c>
      <c r="N150" s="15" t="s">
        <v>8</v>
      </c>
      <c r="O150" s="15" t="s">
        <v>10</v>
      </c>
      <c r="P150" s="16">
        <f t="shared" si="6"/>
        <v>0</v>
      </c>
      <c r="Q150" s="16">
        <v>0</v>
      </c>
      <c r="R150" s="16">
        <v>0</v>
      </c>
      <c r="S150" s="16">
        <v>0</v>
      </c>
      <c r="T150" s="16">
        <v>0</v>
      </c>
      <c r="U150" s="16" t="s">
        <v>10</v>
      </c>
      <c r="V150" s="16">
        <f t="shared" si="7"/>
        <v>2</v>
      </c>
      <c r="W150" s="16">
        <v>1</v>
      </c>
      <c r="X150" s="16">
        <v>0</v>
      </c>
      <c r="Y150" s="16">
        <v>0</v>
      </c>
      <c r="Z150" s="16">
        <v>1</v>
      </c>
      <c r="AA150" s="16" t="s">
        <v>289</v>
      </c>
      <c r="AB150" s="16" t="s">
        <v>10</v>
      </c>
      <c r="AD150" s="20" t="s">
        <v>392</v>
      </c>
      <c r="AE150" s="16" t="s">
        <v>10</v>
      </c>
    </row>
  </sheetData>
  <hyperlinks>
    <hyperlink ref="AD124" r:id="rId1" display="https://dataview.ncbi.nlm.nih.gov/object/SRR30712328" xr:uid="{6783AD43-E05E-8341-9304-C2D39F932A63}"/>
    <hyperlink ref="AD30" r:id="rId2" display="https://dataview.ncbi.nlm.nih.gov/object/SRR30712319" xr:uid="{C7C78F0A-C91E-2544-9D68-01B634E6F12E}"/>
    <hyperlink ref="AD24" r:id="rId3" display="https://dataview.ncbi.nlm.nih.gov/object/SRR30712325" xr:uid="{1C805615-3AF1-3A4F-874E-182234B12C3A}"/>
    <hyperlink ref="AD32" r:id="rId4" display="https://dataview.ncbi.nlm.nih.gov/object/SRR30712316" xr:uid="{10633710-39AB-0B45-BBFC-7E2A8AB315C7}"/>
    <hyperlink ref="AD29" r:id="rId5" display="https://dataview.ncbi.nlm.nih.gov/object/SRR30712320" xr:uid="{C98134D8-CFE5-8443-B9D1-7FAE03D27246}"/>
    <hyperlink ref="AD26" r:id="rId6" display="https://dataview.ncbi.nlm.nih.gov/object/SRR30712323" xr:uid="{9EDE6BDB-C469-E344-9565-38EB863E4967}"/>
    <hyperlink ref="AD23" r:id="rId7" display="https://dataview.ncbi.nlm.nih.gov/object/SRR30712326" xr:uid="{927A1F44-7D5D-3A49-AF16-145944F4FB5F}"/>
    <hyperlink ref="AD5" r:id="rId8" display="https://dataview.ncbi.nlm.nih.gov/object/SRR30712317" xr:uid="{3576B51B-73ED-174A-8A00-55E015CF9B3D}"/>
    <hyperlink ref="AD28" r:id="rId9" display="https://dataview.ncbi.nlm.nih.gov/object/SRR30712321" xr:uid="{76A12C0F-19CA-2D49-8174-CBCEBC598070}"/>
    <hyperlink ref="AD31" r:id="rId10" display="https://dataview.ncbi.nlm.nih.gov/object/SRR30712318" xr:uid="{34B00A61-56AC-1F45-A995-0E717F2EFD60}"/>
    <hyperlink ref="AD22" r:id="rId11" display="https://dataview.ncbi.nlm.nih.gov/object/SRR30712327" xr:uid="{79DBD1FB-D239-184A-BDFC-0016C5D0F3DA}"/>
    <hyperlink ref="AD25" r:id="rId12" display="https://dataview.ncbi.nlm.nih.gov/object/SRR30712324" xr:uid="{FB71A150-C595-5742-9811-6396692EDC77}"/>
    <hyperlink ref="AD2" r:id="rId13" display="https://dataview.ncbi.nlm.nih.gov/object/SRR30712331" xr:uid="{5B78F912-30A0-7E44-9080-5E008A403E84}"/>
    <hyperlink ref="AD27" r:id="rId14" display="https://dataview.ncbi.nlm.nih.gov/object/SRR30712322" xr:uid="{FE2DF70E-EAC2-1A40-A08B-D26EB55D9D50}"/>
    <hyperlink ref="AD12" r:id="rId15" display="https://dataview.ncbi.nlm.nih.gov/object/SRR30712329" xr:uid="{C72964AD-1B10-114B-B79F-C6733F39E461}"/>
    <hyperlink ref="AD3" r:id="rId16" display="https://dataview.ncbi.nlm.nih.gov/object/SRR30712330" xr:uid="{993FE6A4-F9F3-054E-BA51-52B52DA9DB36}"/>
    <hyperlink ref="AD40" r:id="rId17" display="https://dataview.ncbi.nlm.nih.gov/object/SRR30712308" xr:uid="{C47B9BA3-7DC8-2448-B9F1-5B7575D39755}"/>
    <hyperlink ref="AD34" r:id="rId18" display="https://dataview.ncbi.nlm.nih.gov/object/SRR30712314" xr:uid="{3E6E013C-0513-4143-9CC1-1A0B5CBC1CF9}"/>
    <hyperlink ref="AD48" r:id="rId19" display="https://dataview.ncbi.nlm.nih.gov/object/SRR30712299" xr:uid="{BF897367-13C3-2E49-9657-02668ECE9AAE}"/>
    <hyperlink ref="AD33" r:id="rId20" display="https://dataview.ncbi.nlm.nih.gov/object/SRR30712315" xr:uid="{27FD82EB-64A1-114A-BF37-FEF1BCFA0474}"/>
    <hyperlink ref="AD90" r:id="rId21" display="https://dataview.ncbi.nlm.nih.gov/object/SRR30712289" xr:uid="{783D7602-2334-5D40-9587-1DB5BA472AE5}"/>
    <hyperlink ref="AD126" r:id="rId22" display="https://dataview.ncbi.nlm.nih.gov/object/SRR30712295" xr:uid="{506D9514-DB20-2940-A4EB-F131395AA4AA}"/>
    <hyperlink ref="AD88" r:id="rId23" display="https://dataview.ncbi.nlm.nih.gov/object/SRR30712291" xr:uid="{A921A7A1-F659-ED49-969C-31A427031F7B}"/>
    <hyperlink ref="AD128" r:id="rId24" display="https://dataview.ncbi.nlm.nih.gov/object/SRR30712293" xr:uid="{5F74170F-F3C2-F540-8DF5-50DE97F543BF}"/>
    <hyperlink ref="AD125" r:id="rId25" display="https://dataview.ncbi.nlm.nih.gov/object/SRR30712296" xr:uid="{BA2A5917-50D5-224C-94ED-97EA13D1D012}"/>
    <hyperlink ref="AD129" r:id="rId26" display="https://dataview.ncbi.nlm.nih.gov/object/SRR30712292" xr:uid="{CCF80A22-0DB5-B04F-9EF6-C50B362FAE2E}"/>
    <hyperlink ref="AD89" r:id="rId27" display="https://dataview.ncbi.nlm.nih.gov/object/SRR30712290" xr:uid="{B41B850B-1CD4-B74D-8416-3E4C1B3EF4B9}"/>
    <hyperlink ref="AD35" r:id="rId28" display="https://dataview.ncbi.nlm.nih.gov/object/SRR30712313" xr:uid="{F15D4ADA-5934-E74A-861A-F8B389669D5E}"/>
    <hyperlink ref="AD42" r:id="rId29" display="https://dataview.ncbi.nlm.nih.gov/object/SRR30712305" xr:uid="{21BFB7FD-CF7F-C94F-87F2-467BDF690638}"/>
    <hyperlink ref="AD36" r:id="rId30" display="https://dataview.ncbi.nlm.nih.gov/object/SRR30712312" xr:uid="{D4794D99-2F5F-B648-83D8-9F41AEF82D6C}"/>
    <hyperlink ref="AD46" r:id="rId31" display="https://dataview.ncbi.nlm.nih.gov/object/SRR30712301" xr:uid="{DA1CD347-F05C-7F49-8CDB-5DFB1825D1E3}"/>
    <hyperlink ref="AD45" r:id="rId32" display="https://dataview.ncbi.nlm.nih.gov/object/SRR30712302" xr:uid="{73FBE84A-3F7D-5D46-A067-1BA574F6970B}"/>
    <hyperlink ref="AD44" r:id="rId33" display="https://dataview.ncbi.nlm.nih.gov/object/SRR30712303" xr:uid="{A48BA0F4-3684-C24F-AFCF-C442C1054B91}"/>
    <hyperlink ref="AD41" r:id="rId34" display="https://dataview.ncbi.nlm.nih.gov/object/SRR30712307" xr:uid="{89FDBBA7-783C-0547-840F-72430AC5E29E}"/>
    <hyperlink ref="AD6" r:id="rId35" display="https://dataview.ncbi.nlm.nih.gov/object/SRR30712306" xr:uid="{F9E19294-206B-FB4D-B9FF-EC03E4C8A408}"/>
    <hyperlink ref="AD43" r:id="rId36" display="https://dataview.ncbi.nlm.nih.gov/object/SRR30712304" xr:uid="{83CF0750-6354-F947-A659-BDC3F179BC71}"/>
    <hyperlink ref="AD37" r:id="rId37" display="https://dataview.ncbi.nlm.nih.gov/object/SRR30712311" xr:uid="{5E6C588D-358A-0F42-8972-0A8EA419DB5D}"/>
    <hyperlink ref="AD38" r:id="rId38" display="https://dataview.ncbi.nlm.nih.gov/object/SRR30712310" xr:uid="{B2ECD3EF-9739-0547-8DE1-75C9F555F337}"/>
    <hyperlink ref="AD47" r:id="rId39" display="https://dataview.ncbi.nlm.nih.gov/object/SRR30712300" xr:uid="{3B84FF12-CC58-A140-9033-5072C3FD22CC}"/>
    <hyperlink ref="AD39" r:id="rId40" display="https://dataview.ncbi.nlm.nih.gov/object/SRR30712309" xr:uid="{DA2E277D-4F3F-DC47-B937-15F2C58E9310}"/>
    <hyperlink ref="AD127" r:id="rId41" display="https://dataview.ncbi.nlm.nih.gov/object/SRR30712294" xr:uid="{1166EFDC-9E59-0145-B967-7ABD8E5BAF3F}"/>
    <hyperlink ref="AD49" r:id="rId42" display="https://dataview.ncbi.nlm.nih.gov/object/SRR30712298" xr:uid="{DD6AB1CB-AE46-B449-8BED-DD8F6F052F68}"/>
    <hyperlink ref="AD93" r:id="rId43" display="https://dataview.ncbi.nlm.nih.gov/object/SRR30712285" xr:uid="{79CF788E-65D4-3D45-8F2C-FB7C37F9CC65}"/>
    <hyperlink ref="AD50" r:id="rId44" display="https://dataview.ncbi.nlm.nih.gov/object/SRR30712297" xr:uid="{8BAD3494-A207-1840-AD39-5C9C810217CE}"/>
    <hyperlink ref="AD91" r:id="rId45" display="https://dataview.ncbi.nlm.nih.gov/object/SRR30712288" xr:uid="{D4711A86-95B4-194D-8174-F55FAD38503C}"/>
    <hyperlink ref="AD13" r:id="rId46" display="https://dataview.ncbi.nlm.nih.gov/object/SRR30712287" xr:uid="{627BADF5-A940-9B47-95AA-F8EBF3AFE846}"/>
    <hyperlink ref="AD94" r:id="rId47" display="https://dataview.ncbi.nlm.nih.gov/object/SRR30712284" xr:uid="{78FE46D1-EC75-6045-A3FB-83B367A025EB}"/>
    <hyperlink ref="AD92" r:id="rId48" display="https://dataview.ncbi.nlm.nih.gov/object/SRR30712286" xr:uid="{27A08E68-D609-C14B-AE64-98A81895290C}"/>
    <hyperlink ref="AD132" r:id="rId49" display="https://dataview.ncbi.nlm.nih.gov/object/SRR30712275" xr:uid="{8271F4DF-B4F8-3743-AB05-37F1C20BDF0E}"/>
    <hyperlink ref="AD104" r:id="rId50" display="https://dataview.ncbi.nlm.nih.gov/object/SRR30712264" xr:uid="{EC31A6C8-0B26-E648-A43B-710025A62A83}"/>
    <hyperlink ref="AD102" r:id="rId51" display="https://dataview.ncbi.nlm.nih.gov/object/SRR30712267" xr:uid="{5C52FEB2-4565-8843-819F-C1E57C73291B}"/>
    <hyperlink ref="AD133" r:id="rId52" display="https://dataview.ncbi.nlm.nih.gov/object/SRR30712274" xr:uid="{AF0E2F3D-F13D-CE4E-84F9-F03B191F7E10}"/>
    <hyperlink ref="AD137" r:id="rId53" display="https://dataview.ncbi.nlm.nih.gov/object/SRR30712270" xr:uid="{65C7D8E6-5DE5-3E4C-A4FB-C884D3ED3586}"/>
    <hyperlink ref="AD98" r:id="rId54" display="https://dataview.ncbi.nlm.nih.gov/object/SRR30712280" xr:uid="{AAFB1E12-93B2-B748-A4D3-C18A946BF093}"/>
    <hyperlink ref="AD130" r:id="rId55" display="https://dataview.ncbi.nlm.nih.gov/object/SRR30712278" xr:uid="{A406BC6C-7FEA-5C48-9C6C-3F66D0005BCE}"/>
    <hyperlink ref="AD103" r:id="rId56" display="https://dataview.ncbi.nlm.nih.gov/object/SRR30712266" xr:uid="{8BFBB3A9-B35D-8F48-A20F-99D3EC785CFA}"/>
    <hyperlink ref="AD131" r:id="rId57" display="https://dataview.ncbi.nlm.nih.gov/object/SRR30712277" xr:uid="{2F3B9699-61FC-A24E-B638-77483A115722}"/>
    <hyperlink ref="AD134" r:id="rId58" display="https://dataview.ncbi.nlm.nih.gov/object/SRR30712273" xr:uid="{16A11626-B791-3545-A257-6DC8240D47C5}"/>
    <hyperlink ref="AD136" r:id="rId59" display="https://dataview.ncbi.nlm.nih.gov/object/SRR30712271" xr:uid="{85873B0D-30CC-464C-8399-E4DA8FCE8B6C}"/>
    <hyperlink ref="AD100" r:id="rId60" display="https://dataview.ncbi.nlm.nih.gov/object/SRR30712269" xr:uid="{47769E62-60DD-F740-9996-A8CC10CB23CD}"/>
    <hyperlink ref="AD112" r:id="rId61" display="https://dataview.ncbi.nlm.nih.gov/object/SRR30712256" xr:uid="{C97FFC79-BF6B-E649-8FD8-9736496D28E9}"/>
    <hyperlink ref="AD140" r:id="rId62" display="https://dataview.ncbi.nlm.nih.gov/object/SRR30712252" xr:uid="{63C12C32-B73C-4742-915D-98A2B87F8E72}"/>
    <hyperlink ref="AD141" r:id="rId63" display="https://dataview.ncbi.nlm.nih.gov/object/SRR30712251" xr:uid="{60F176A7-55E8-6642-8064-47AE812BA31B}"/>
    <hyperlink ref="AD111" r:id="rId64" display="https://dataview.ncbi.nlm.nih.gov/object/SRR30712257" xr:uid="{E36AEDD6-EEB9-A64A-B860-35E8BCA58E32}"/>
    <hyperlink ref="AD110" r:id="rId65" display="https://dataview.ncbi.nlm.nih.gov/object/SRR30712258" xr:uid="{347E9DDF-A88B-5F44-A5D9-45C7F51F6233}"/>
    <hyperlink ref="AD109" r:id="rId66" display="https://dataview.ncbi.nlm.nih.gov/object/SRR30712259" xr:uid="{CEB15BD5-0B1F-B747-8F1A-864FF72A7A97}"/>
    <hyperlink ref="AD139" r:id="rId67" display="https://dataview.ncbi.nlm.nih.gov/object/SRR30712253" xr:uid="{7852DAAC-A434-AF49-B393-FBC28F2A802B}"/>
    <hyperlink ref="AD142" r:id="rId68" display="https://dataview.ncbi.nlm.nih.gov/object/SRR30712250" xr:uid="{C6D8ED10-C4D2-9D43-B310-8C65DB2A0825}"/>
    <hyperlink ref="AD106" r:id="rId69" display="https://dataview.ncbi.nlm.nih.gov/object/SRR30712262" xr:uid="{1A0A5007-716C-8346-8C82-35F2DD107CFC}"/>
    <hyperlink ref="AD144" r:id="rId70" display="https://dataview.ncbi.nlm.nih.gov/object/SRR30712248" xr:uid="{B0F4C2EE-6821-0548-9A90-3E9162B95D1E}"/>
    <hyperlink ref="AD138" r:id="rId71" display="https://dataview.ncbi.nlm.nih.gov/object/SRR30712255" xr:uid="{CB32880F-A795-D344-A998-E7FB833773E6}"/>
    <hyperlink ref="AD16" r:id="rId72" display="https://dataview.ncbi.nlm.nih.gov/object/SRR30712254" xr:uid="{39CAD244-ABF1-1B42-9164-CB798AC96E80}"/>
    <hyperlink ref="AD97" r:id="rId73" display="https://dataview.ncbi.nlm.nih.gov/object/SRR30712281" xr:uid="{7D706777-90E0-B943-A727-921806B768F4}"/>
    <hyperlink ref="AD135" r:id="rId74" display="https://dataview.ncbi.nlm.nih.gov/object/SRR30712272" xr:uid="{35C326C5-87DE-1D45-8D51-4B198BEDB62D}"/>
    <hyperlink ref="AD99" r:id="rId75" display="https://dataview.ncbi.nlm.nih.gov/object/SRR30712279" xr:uid="{7504DB39-DCCA-9A4B-9D9C-C9271875820D}"/>
    <hyperlink ref="AD15" r:id="rId76" display="https://dataview.ncbi.nlm.nih.gov/object/SRR30712265" xr:uid="{975ABC30-5359-4248-8823-44D1CF4477F6}"/>
    <hyperlink ref="AD95" r:id="rId77" display="https://dataview.ncbi.nlm.nih.gov/object/SRR30712283" xr:uid="{A7CABB1E-3480-BA4F-BE6B-86CDADAAB454}"/>
    <hyperlink ref="AD101" r:id="rId78" display="https://dataview.ncbi.nlm.nih.gov/object/SRR30712268" xr:uid="{E5142B7A-6336-5E45-9CF7-3B932A315003}"/>
    <hyperlink ref="AD96" r:id="rId79" display="https://dataview.ncbi.nlm.nih.gov/object/SRR30712282" xr:uid="{738ABF11-E848-4A42-9FEB-76285A446084}"/>
    <hyperlink ref="AD14" r:id="rId80" display="https://dataview.ncbi.nlm.nih.gov/object/SRR30712276" xr:uid="{E346CA12-5FFB-034F-9548-7FAD81844BDF}"/>
    <hyperlink ref="AD143" r:id="rId81" display="https://dataview.ncbi.nlm.nih.gov/object/SRR30712276" xr:uid="{F0130D6E-C5BD-A940-8E18-547A4AAFC454}"/>
    <hyperlink ref="AD107" r:id="rId82" display="https://dataview.ncbi.nlm.nih.gov/object/SRR30712261" xr:uid="{E4B595D8-E9C1-7C4E-8A71-F389ABC04B12}"/>
    <hyperlink ref="AD105" r:id="rId83" display="https://dataview.ncbi.nlm.nih.gov/object/SRR30712263" xr:uid="{AE9EF0BB-DC0D-2D43-8389-C3117C89C076}"/>
    <hyperlink ref="AD108" r:id="rId84" display="https://dataview.ncbi.nlm.nih.gov/object/SRR30712260" xr:uid="{04FFEDBB-3967-2E48-B6DD-B945E60C875E}"/>
    <hyperlink ref="AD18" r:id="rId85" display="https://dataview.ncbi.nlm.nih.gov/object/SRR30712237" xr:uid="{52184148-AE12-424F-B821-30524E91C76E}"/>
    <hyperlink ref="AD148" r:id="rId86" display="https://dataview.ncbi.nlm.nih.gov/object/SRR30712244" xr:uid="{C54A81C6-C055-C643-9590-053ABE034A08}"/>
    <hyperlink ref="AD146" r:id="rId87" display="https://dataview.ncbi.nlm.nih.gov/object/SRR30712246" xr:uid="{FBF2CF88-37DD-3548-A1CE-FCA5B6175492}"/>
    <hyperlink ref="AD150" r:id="rId88" display="https://dataview.ncbi.nlm.nih.gov/object/SRR30712241" xr:uid="{B0B49DCE-E5A7-9649-89B0-DFD0F2A42EDB}"/>
    <hyperlink ref="AD114" r:id="rId89" display="https://dataview.ncbi.nlm.nih.gov/object/SRR30712239" xr:uid="{77644F77-C0D3-174B-93B9-AE57541A176E}"/>
    <hyperlink ref="AD147" r:id="rId90" display="https://dataview.ncbi.nlm.nih.gov/object/SRR30712245" xr:uid="{D32B921E-E13D-894E-B34C-A935C9343BD2}"/>
    <hyperlink ref="AD145" r:id="rId91" display="https://dataview.ncbi.nlm.nih.gov/object/SRR30712247" xr:uid="{A0B1F02B-9305-CA4F-9397-8F82ACE94E13}"/>
    <hyperlink ref="AD149" r:id="rId92" display="https://dataview.ncbi.nlm.nih.gov/object/SRR30712242" xr:uid="{ADDD59E4-F1E5-BE45-91E5-52D7723E9F11}"/>
    <hyperlink ref="AD21" r:id="rId93" display="https://dataview.ncbi.nlm.nih.gov/object/SRR30712234" xr:uid="{8C81D0BF-557B-B540-BC23-3AD541B1F3F4}"/>
    <hyperlink ref="AD51" r:id="rId94" display="https://dataview.ncbi.nlm.nih.gov/object/SRR30712233" xr:uid="{695CCAB2-1106-EB4C-97E7-00DE3859D066}"/>
    <hyperlink ref="AD115" r:id="rId95" display="https://dataview.ncbi.nlm.nih.gov/object/SRR30712238" xr:uid="{6E6E6CCB-2852-0A4C-A2F8-340E52FA390C}"/>
    <hyperlink ref="AD20" r:id="rId96" display="https://dataview.ncbi.nlm.nih.gov/object/SRR30712235" xr:uid="{E73F8214-34A4-1D45-BD9A-44C2E335D300}"/>
    <hyperlink ref="AD17" r:id="rId97" display="https://dataview.ncbi.nlm.nih.gov/object/SRR30712243" xr:uid="{DD910EE1-4F84-674A-87D5-16D541C00268}"/>
    <hyperlink ref="AD19" r:id="rId98" display="https://dataview.ncbi.nlm.nih.gov/object/SRR30712243" xr:uid="{D0A1C97F-44C2-4744-B3A1-B48F7EBAC8CD}"/>
    <hyperlink ref="AD62" r:id="rId99" display="https://dataview.ncbi.nlm.nih.gov/object/SRR30712219" xr:uid="{C73364A5-6857-FE4C-9954-F4A90413891E}"/>
    <hyperlink ref="AD72" r:id="rId100" display="https://dataview.ncbi.nlm.nih.gov/object/SRR30712208" xr:uid="{018E2468-DFEE-B04E-B17B-44165BF6271D}"/>
    <hyperlink ref="AD67" r:id="rId101" display="https://dataview.ncbi.nlm.nih.gov/object/SRR30712214" xr:uid="{06A64D01-0918-004B-939D-0A2BFDEAD2CC}"/>
    <hyperlink ref="AD70" r:id="rId102" display="https://dataview.ncbi.nlm.nih.gov/object/SRR30712214" xr:uid="{03301702-FB1B-B844-A153-81A90D0A3531}"/>
    <hyperlink ref="AD74" r:id="rId103" display="https://dataview.ncbi.nlm.nih.gov/object/SRR30712206" xr:uid="{15D4A2AF-7729-CD46-A782-76526CDACE5E}"/>
    <hyperlink ref="AD75" r:id="rId104" display="https://dataview.ncbi.nlm.nih.gov/object/SRR30712205" xr:uid="{B14415F2-1895-9845-AC6C-3FEA1FE674DB}"/>
    <hyperlink ref="AD56" r:id="rId105" display="https://dataview.ncbi.nlm.nih.gov/object/SRR30712226" xr:uid="{07F8A9AA-5E1F-1644-A564-8197FB0104A6}"/>
    <hyperlink ref="AD61" r:id="rId106" display="https://dataview.ncbi.nlm.nih.gov/object/SRR30712221" xr:uid="{9CA34B9D-A71B-0940-A3E4-B33FB191DFE0}"/>
    <hyperlink ref="AD58" r:id="rId107" display="https://dataview.ncbi.nlm.nih.gov/object/SRR30712224" xr:uid="{B77DF381-445E-F54C-A9B9-EE5F0D60893E}"/>
    <hyperlink ref="AD52" r:id="rId108" display="https://dataview.ncbi.nlm.nih.gov/object/SRR30712230" xr:uid="{3115DC28-F0F2-6B4A-8768-4247FE4485A8}"/>
    <hyperlink ref="AD59" r:id="rId109" display="https://dataview.ncbi.nlm.nih.gov/object/SRR30712223" xr:uid="{89505C7D-710B-B342-95F9-6B6EF9907E79}"/>
    <hyperlink ref="AD7" r:id="rId110" display="https://dataview.ncbi.nlm.nih.gov/object/SRR30712231" xr:uid="{1F854787-E833-B44C-AACA-7E6FDE1B116C}"/>
    <hyperlink ref="AD64" r:id="rId111" display="https://dataview.ncbi.nlm.nih.gov/object/SRR30712217" xr:uid="{4713E9C9-30EF-BC4D-9BF3-D6C53DE9C89A}"/>
    <hyperlink ref="AD8" r:id="rId112" display="https://dataview.ncbi.nlm.nih.gov/object/SRR30712220" xr:uid="{872FC7AF-A318-D545-B4ED-47C399AE9852}"/>
    <hyperlink ref="AD57" r:id="rId113" display="https://dataview.ncbi.nlm.nih.gov/object/SRR30712225" xr:uid="{FB62777A-0C14-D946-B633-ACE1E7B67963}"/>
    <hyperlink ref="AD63" r:id="rId114" display="https://dataview.ncbi.nlm.nih.gov/object/SRR30712218" xr:uid="{EF716607-F042-284C-ACC8-9CD167CEA0DC}"/>
    <hyperlink ref="AD55" r:id="rId115" display="https://dataview.ncbi.nlm.nih.gov/object/SRR30712227" xr:uid="{0AC261E3-FE87-C147-A0E5-A6D13425F2ED}"/>
    <hyperlink ref="AD54" r:id="rId116" display="https://dataview.ncbi.nlm.nih.gov/object/SRR30712228" xr:uid="{15AE5907-F416-2742-B889-C51F3D54BF7D}"/>
    <hyperlink ref="AD53" r:id="rId117" display="https://dataview.ncbi.nlm.nih.gov/object/SRR30712229" xr:uid="{BEA3F95D-1382-494A-B885-F8DF9F5FE9EB}"/>
    <hyperlink ref="AD4" r:id="rId118" display="https://dataview.ncbi.nlm.nih.gov/object/SRR30712232" xr:uid="{D0129083-E3C1-4544-9D48-52DADF302735}"/>
    <hyperlink ref="AD60" r:id="rId119" display="https://dataview.ncbi.nlm.nih.gov/object/SRR30712222" xr:uid="{0575CA2B-B2FB-9741-9BB5-01CE17A1C5CE}"/>
    <hyperlink ref="AD9" r:id="rId120" display="https://dataview.ncbi.nlm.nih.gov/object/SRR30712209" xr:uid="{AB12F990-6DFE-1742-996B-ABF8184F4BC6}"/>
    <hyperlink ref="AD73" r:id="rId121" display="https://dataview.ncbi.nlm.nih.gov/object/SRR30712207" xr:uid="{DD84395D-3D1F-1843-9998-F45C4ED0870F}"/>
    <hyperlink ref="AD66" r:id="rId122" display="https://dataview.ncbi.nlm.nih.gov/object/SRR30712215" xr:uid="{A849B73F-1780-8D47-B638-79218AB0B83F}"/>
    <hyperlink ref="AD69" r:id="rId123" display="https://dataview.ncbi.nlm.nih.gov/object/SRR30712212" xr:uid="{17339F34-0AC5-9443-BEAB-ACE7A775380E}"/>
    <hyperlink ref="AD68" r:id="rId124" display="https://dataview.ncbi.nlm.nih.gov/object/SRR30712213" xr:uid="{075AC416-582A-C446-8876-D271D4FD120E}"/>
    <hyperlink ref="AD71" r:id="rId125" display="https://dataview.ncbi.nlm.nih.gov/object/SRR30712210" xr:uid="{4E21AFD7-31B9-8D4C-8A5B-6A66565E61DB}"/>
    <hyperlink ref="AD65" r:id="rId126" display="https://dataview.ncbi.nlm.nih.gov/object/SRR30712216" xr:uid="{598FCE64-9F65-B642-BD3D-74EE248CB422}"/>
    <hyperlink ref="AD86" r:id="rId127" display="https://dataview.ncbi.nlm.nih.gov/object/SRR30712193" xr:uid="{E68B9946-4AD5-514E-9300-01C7707BC0B4}"/>
    <hyperlink ref="AD10" r:id="rId128" display="https://dataview.ncbi.nlm.nih.gov/object/SRR30712198" xr:uid="{DDEA3D51-75BC-284C-8760-BE4F34870530}"/>
    <hyperlink ref="AD84" r:id="rId129" display="https://dataview.ncbi.nlm.nih.gov/object/SRR30712195" xr:uid="{AC7F3DA9-9C67-574B-96C7-F87FC4B95FC4}"/>
    <hyperlink ref="AD87" r:id="rId130" display="https://dataview.ncbi.nlm.nih.gov/object/SRR30712192" xr:uid="{978634AC-8D97-194D-8272-EA964FEC677A}"/>
    <hyperlink ref="AD81" r:id="rId131" display="https://dataview.ncbi.nlm.nih.gov/object/SRR30712199" xr:uid="{8FB56525-C2F1-7547-A445-82B9E5C59AB5}"/>
    <hyperlink ref="AD83" r:id="rId132" display="https://dataview.ncbi.nlm.nih.gov/object/SRR30712196" xr:uid="{D6584D7A-97E4-4D47-9D70-78594135F6AD}"/>
    <hyperlink ref="AD82" r:id="rId133" display="https://dataview.ncbi.nlm.nih.gov/object/SRR30712197" xr:uid="{8BFF44AE-46C2-8844-9EF5-F8C58145040A}"/>
    <hyperlink ref="AD117" r:id="rId134" display="https://dataview.ncbi.nlm.nih.gov/object/SRR30712190" xr:uid="{A90024F9-943E-F34F-94A7-90082E8F05B4}"/>
    <hyperlink ref="AD85" r:id="rId135" display="https://dataview.ncbi.nlm.nih.gov/object/SRR30712194" xr:uid="{918CCBCC-7163-8D43-B2F4-01216C0CEF9B}"/>
    <hyperlink ref="AD76" r:id="rId136" display="https://dataview.ncbi.nlm.nih.gov/object/SRR30712204" xr:uid="{23CD6009-4058-AB43-B537-980EDAC6AA34}"/>
    <hyperlink ref="AD79" r:id="rId137" display="https://dataview.ncbi.nlm.nih.gov/object/SRR30712201" xr:uid="{6C6E42DB-4B35-7A47-97E7-A8465BFD5361}"/>
    <hyperlink ref="AD116" r:id="rId138" display="https://dataview.ncbi.nlm.nih.gov/object/SRR30712191" xr:uid="{F9AB99BE-50DA-7549-8DAB-09691F16E82D}"/>
    <hyperlink ref="AD80" r:id="rId139" display="https://dataview.ncbi.nlm.nih.gov/object/SRR30712200" xr:uid="{A3FE0F9D-DD57-6543-8FB3-D5FB4BD24FAA}"/>
    <hyperlink ref="AD11" r:id="rId140" display="https://dataview.ncbi.nlm.nih.gov/object/SRR30712187" xr:uid="{B2D0660B-0986-8E4C-A39D-C5755BBD2E3F}"/>
    <hyperlink ref="AD122" r:id="rId141" display="https://dataview.ncbi.nlm.nih.gov/object/SRR30712178" xr:uid="{5DC0C88C-10BB-DD4F-878C-DEED80DE8B19}"/>
    <hyperlink ref="AD118" r:id="rId142" display="https://dataview.ncbi.nlm.nih.gov/object/SRR30712189" xr:uid="{55A5E772-5580-3D4B-AABA-02C60EF4E3E9}"/>
    <hyperlink ref="AD121" r:id="rId143" display="https://dataview.ncbi.nlm.nih.gov/object/SRR30712182" xr:uid="{5966D0DE-2318-0E4F-9D50-FB2AAC8B7263}"/>
    <hyperlink ref="AD120" r:id="rId144" display="https://dataview.ncbi.nlm.nih.gov/object/SRR30712184" xr:uid="{FC881B5D-F91B-7042-926C-896263967FF0}"/>
    <hyperlink ref="AD123" r:id="rId145" display="https://dataview.ncbi.nlm.nih.gov/object/SRR30712177" xr:uid="{4E706D89-93F7-F844-B6C6-D3CD491D5EEF}"/>
    <hyperlink ref="AD119" r:id="rId146" display="https://dataview.ncbi.nlm.nih.gov/object/SRR30712188" xr:uid="{919CA6CB-BD22-4345-A243-633D25E19693}"/>
    <hyperlink ref="AD77" r:id="rId147" display="https://dataview.ncbi.nlm.nih.gov/object/SRR30712203" xr:uid="{E99BAF7F-5988-674E-BCA3-667A418C0E0C}"/>
    <hyperlink ref="AD78" r:id="rId148" display="https://dataview.ncbi.nlm.nih.gov/object/SRR30712202" xr:uid="{B28989A9-2321-8044-869B-E2AABD5928EE}"/>
    <hyperlink ref="AD113" r:id="rId149" display="https://dataview.ncbi.nlm.nih.gov/object/SRR30712240" xr:uid="{37BE5519-3BFD-A74B-831D-7469D3D3E0B3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8A7BF-2E8F-9249-BD2A-4D72A0451BCD}">
  <dimension ref="A1:I153"/>
  <sheetViews>
    <sheetView topLeftCell="A49" zoomScale="80" zoomScaleNormal="80" workbookViewId="0">
      <selection activeCell="A78" sqref="A78:I153"/>
    </sheetView>
  </sheetViews>
  <sheetFormatPr baseColWidth="10" defaultRowHeight="16" x14ac:dyDescent="0.2"/>
  <cols>
    <col min="1" max="1" width="24.33203125" customWidth="1"/>
    <col min="2" max="4" width="17.6640625" customWidth="1"/>
    <col min="5" max="5" width="21" customWidth="1"/>
    <col min="6" max="6" width="14" customWidth="1"/>
    <col min="7" max="7" width="64.5" customWidth="1"/>
    <col min="8" max="8" width="17.33203125" bestFit="1" customWidth="1"/>
    <col min="9" max="9" width="23.1640625" customWidth="1"/>
  </cols>
  <sheetData>
    <row r="1" spans="1:9" ht="68" x14ac:dyDescent="0.2">
      <c r="A1" s="41" t="s">
        <v>285</v>
      </c>
      <c r="B1" s="42" t="s">
        <v>459</v>
      </c>
      <c r="C1" s="42" t="s">
        <v>458</v>
      </c>
      <c r="D1" s="42" t="s">
        <v>462</v>
      </c>
      <c r="E1" s="42" t="s">
        <v>453</v>
      </c>
      <c r="F1" s="42" t="s">
        <v>454</v>
      </c>
      <c r="G1" s="42" t="s">
        <v>460</v>
      </c>
      <c r="H1" s="43" t="s">
        <v>468</v>
      </c>
      <c r="I1" s="42" t="s">
        <v>452</v>
      </c>
    </row>
    <row r="2" spans="1:9" ht="17" x14ac:dyDescent="0.2">
      <c r="A2" s="44" t="s">
        <v>6</v>
      </c>
      <c r="B2" s="45" t="s">
        <v>160</v>
      </c>
      <c r="C2" s="45" t="s">
        <v>293</v>
      </c>
      <c r="D2" s="62" t="s">
        <v>464</v>
      </c>
      <c r="E2" s="45" t="s">
        <v>286</v>
      </c>
      <c r="F2" s="46" t="s">
        <v>286</v>
      </c>
      <c r="G2" s="2" t="s">
        <v>209</v>
      </c>
      <c r="H2" s="47" t="s">
        <v>318</v>
      </c>
      <c r="I2" s="48">
        <v>3599.2704043040799</v>
      </c>
    </row>
    <row r="3" spans="1:9" ht="17" x14ac:dyDescent="0.2">
      <c r="A3" s="44" t="s">
        <v>9</v>
      </c>
      <c r="B3" s="45" t="s">
        <v>160</v>
      </c>
      <c r="C3" s="45" t="s">
        <v>293</v>
      </c>
      <c r="D3" s="62" t="s">
        <v>464</v>
      </c>
      <c r="E3" s="45" t="s">
        <v>10</v>
      </c>
      <c r="F3" s="46" t="s">
        <v>10</v>
      </c>
      <c r="G3" s="2"/>
      <c r="H3" s="47" t="s">
        <v>321</v>
      </c>
      <c r="I3" s="2" t="s">
        <v>10</v>
      </c>
    </row>
    <row r="4" spans="1:9" ht="17" x14ac:dyDescent="0.2">
      <c r="A4" s="44" t="s">
        <v>11</v>
      </c>
      <c r="B4" s="45" t="s">
        <v>160</v>
      </c>
      <c r="C4" s="45" t="s">
        <v>293</v>
      </c>
      <c r="D4" s="62" t="s">
        <v>464</v>
      </c>
      <c r="E4" s="45" t="s">
        <v>10</v>
      </c>
      <c r="F4" s="46" t="s">
        <v>10</v>
      </c>
      <c r="G4" s="2"/>
      <c r="H4" s="47" t="s">
        <v>420</v>
      </c>
      <c r="I4" s="2" t="s">
        <v>10</v>
      </c>
    </row>
    <row r="5" spans="1:9" ht="17" x14ac:dyDescent="0.2">
      <c r="A5" s="44" t="s">
        <v>12</v>
      </c>
      <c r="B5" s="45" t="s">
        <v>160</v>
      </c>
      <c r="C5" s="45" t="s">
        <v>293</v>
      </c>
      <c r="D5" s="62" t="s">
        <v>464</v>
      </c>
      <c r="E5" s="45" t="s">
        <v>10</v>
      </c>
      <c r="F5" s="46" t="s">
        <v>10</v>
      </c>
      <c r="G5" s="2"/>
      <c r="H5" s="47" t="s">
        <v>313</v>
      </c>
      <c r="I5" s="2" t="s">
        <v>10</v>
      </c>
    </row>
    <row r="6" spans="1:9" ht="17" x14ac:dyDescent="0.2">
      <c r="A6" s="44" t="s">
        <v>13</v>
      </c>
      <c r="B6" s="45" t="s">
        <v>160</v>
      </c>
      <c r="C6" s="45" t="s">
        <v>293</v>
      </c>
      <c r="D6" s="62" t="s">
        <v>464</v>
      </c>
      <c r="E6" s="45" t="s">
        <v>286</v>
      </c>
      <c r="F6" s="46" t="s">
        <v>286</v>
      </c>
      <c r="G6" s="2" t="s">
        <v>210</v>
      </c>
      <c r="H6" s="47" t="s">
        <v>340</v>
      </c>
      <c r="I6" s="48">
        <v>4676.61839854347</v>
      </c>
    </row>
    <row r="7" spans="1:9" ht="17" x14ac:dyDescent="0.2">
      <c r="A7" s="44" t="s">
        <v>14</v>
      </c>
      <c r="B7" s="45" t="s">
        <v>160</v>
      </c>
      <c r="C7" s="45" t="s">
        <v>293</v>
      </c>
      <c r="D7" s="62" t="s">
        <v>464</v>
      </c>
      <c r="E7" s="45" t="s">
        <v>10</v>
      </c>
      <c r="F7" s="46" t="s">
        <v>10</v>
      </c>
      <c r="G7" s="2"/>
      <c r="H7" s="47" t="s">
        <v>412</v>
      </c>
      <c r="I7" s="2" t="s">
        <v>10</v>
      </c>
    </row>
    <row r="8" spans="1:9" ht="17" x14ac:dyDescent="0.2">
      <c r="A8" s="44" t="s">
        <v>15</v>
      </c>
      <c r="B8" s="45" t="s">
        <v>160</v>
      </c>
      <c r="C8" s="45" t="s">
        <v>293</v>
      </c>
      <c r="D8" s="62" t="s">
        <v>464</v>
      </c>
      <c r="E8" s="45" t="s">
        <v>286</v>
      </c>
      <c r="F8" s="46" t="s">
        <v>10</v>
      </c>
      <c r="G8" s="2" t="s">
        <v>211</v>
      </c>
      <c r="H8" s="47" t="s">
        <v>414</v>
      </c>
      <c r="I8" s="48">
        <v>300.65634480631098</v>
      </c>
    </row>
    <row r="9" spans="1:9" ht="17" x14ac:dyDescent="0.2">
      <c r="A9" s="44" t="s">
        <v>16</v>
      </c>
      <c r="B9" s="45" t="s">
        <v>160</v>
      </c>
      <c r="C9" s="45" t="s">
        <v>293</v>
      </c>
      <c r="D9" s="62" t="s">
        <v>464</v>
      </c>
      <c r="E9" s="45" t="s">
        <v>286</v>
      </c>
      <c r="F9" s="46" t="s">
        <v>10</v>
      </c>
      <c r="G9" s="2" t="s">
        <v>212</v>
      </c>
      <c r="H9" s="47" t="s">
        <v>422</v>
      </c>
      <c r="I9" s="48">
        <v>390.97363014981897</v>
      </c>
    </row>
    <row r="10" spans="1:9" ht="17" x14ac:dyDescent="0.2">
      <c r="A10" s="44" t="s">
        <v>17</v>
      </c>
      <c r="B10" s="45" t="s">
        <v>160</v>
      </c>
      <c r="C10" s="45" t="s">
        <v>293</v>
      </c>
      <c r="D10" s="62" t="s">
        <v>464</v>
      </c>
      <c r="E10" s="45" t="s">
        <v>286</v>
      </c>
      <c r="F10" s="46" t="s">
        <v>286</v>
      </c>
      <c r="G10" s="2" t="s">
        <v>213</v>
      </c>
      <c r="H10" s="47" t="s">
        <v>430</v>
      </c>
      <c r="I10" s="49">
        <v>73.351929047099404</v>
      </c>
    </row>
    <row r="11" spans="1:9" ht="17" x14ac:dyDescent="0.2">
      <c r="A11" s="44" t="s">
        <v>18</v>
      </c>
      <c r="B11" s="45" t="s">
        <v>160</v>
      </c>
      <c r="C11" s="45" t="s">
        <v>293</v>
      </c>
      <c r="D11" s="62" t="s">
        <v>464</v>
      </c>
      <c r="E11" s="45" t="s">
        <v>10</v>
      </c>
      <c r="F11" s="46" t="s">
        <v>10</v>
      </c>
      <c r="G11" s="2"/>
      <c r="H11" s="47" t="s">
        <v>442</v>
      </c>
      <c r="I11" s="2" t="s">
        <v>10</v>
      </c>
    </row>
    <row r="12" spans="1:9" ht="17" x14ac:dyDescent="0.2">
      <c r="A12" s="44" t="s">
        <v>19</v>
      </c>
      <c r="B12" s="45" t="s">
        <v>160</v>
      </c>
      <c r="C12" s="45" t="s">
        <v>293</v>
      </c>
      <c r="D12" s="62" t="s">
        <v>464</v>
      </c>
      <c r="E12" s="45" t="s">
        <v>286</v>
      </c>
      <c r="F12" s="46" t="s">
        <v>10</v>
      </c>
      <c r="G12" s="2" t="s">
        <v>221</v>
      </c>
      <c r="H12" s="47" t="s">
        <v>320</v>
      </c>
      <c r="I12" s="48">
        <v>249.08448052841001</v>
      </c>
    </row>
    <row r="13" spans="1:9" ht="17" x14ac:dyDescent="0.2">
      <c r="A13" s="44" t="s">
        <v>20</v>
      </c>
      <c r="B13" s="45" t="s">
        <v>160</v>
      </c>
      <c r="C13" s="45" t="s">
        <v>293</v>
      </c>
      <c r="D13" s="62" t="s">
        <v>464</v>
      </c>
      <c r="E13" s="45" t="s">
        <v>286</v>
      </c>
      <c r="F13" s="46" t="s">
        <v>286</v>
      </c>
      <c r="G13" s="2" t="s">
        <v>220</v>
      </c>
      <c r="H13" s="47" t="s">
        <v>351</v>
      </c>
      <c r="I13" s="48">
        <v>1044.9804774929401</v>
      </c>
    </row>
    <row r="14" spans="1:9" ht="17" x14ac:dyDescent="0.2">
      <c r="A14" s="44" t="s">
        <v>21</v>
      </c>
      <c r="B14" s="45" t="s">
        <v>160</v>
      </c>
      <c r="C14" s="45" t="s">
        <v>293</v>
      </c>
      <c r="D14" s="62" t="s">
        <v>464</v>
      </c>
      <c r="E14" s="45" t="s">
        <v>287</v>
      </c>
      <c r="F14" s="46" t="s">
        <v>10</v>
      </c>
      <c r="G14" s="2"/>
      <c r="H14" s="47" t="s">
        <v>385</v>
      </c>
      <c r="I14" s="48">
        <v>1.0672835280849999</v>
      </c>
    </row>
    <row r="15" spans="1:9" ht="17" x14ac:dyDescent="0.2">
      <c r="A15" s="44" t="s">
        <v>22</v>
      </c>
      <c r="B15" s="45" t="s">
        <v>160</v>
      </c>
      <c r="C15" s="45" t="s">
        <v>293</v>
      </c>
      <c r="D15" s="62" t="s">
        <v>464</v>
      </c>
      <c r="E15" s="45" t="s">
        <v>287</v>
      </c>
      <c r="F15" s="46" t="s">
        <v>286</v>
      </c>
      <c r="G15" s="2" t="s">
        <v>216</v>
      </c>
      <c r="H15" s="47" t="s">
        <v>381</v>
      </c>
      <c r="I15" s="48">
        <v>17538.201700597401</v>
      </c>
    </row>
    <row r="16" spans="1:9" ht="17" x14ac:dyDescent="0.2">
      <c r="A16" s="44" t="s">
        <v>23</v>
      </c>
      <c r="B16" s="45" t="s">
        <v>160</v>
      </c>
      <c r="C16" s="45" t="s">
        <v>293</v>
      </c>
      <c r="D16" s="62" t="s">
        <v>464</v>
      </c>
      <c r="E16" s="45" t="s">
        <v>286</v>
      </c>
      <c r="F16" s="46" t="s">
        <v>10</v>
      </c>
      <c r="G16" s="2" t="s">
        <v>217</v>
      </c>
      <c r="H16" s="47" t="s">
        <v>377</v>
      </c>
      <c r="I16" s="48">
        <v>198.87920853009501</v>
      </c>
    </row>
    <row r="17" spans="1:9" ht="17" x14ac:dyDescent="0.2">
      <c r="A17" s="44" t="s">
        <v>24</v>
      </c>
      <c r="B17" s="45" t="s">
        <v>160</v>
      </c>
      <c r="C17" s="45" t="s">
        <v>293</v>
      </c>
      <c r="D17" s="62" t="s">
        <v>464</v>
      </c>
      <c r="E17" s="45" t="s">
        <v>286</v>
      </c>
      <c r="F17" s="46" t="s">
        <v>286</v>
      </c>
      <c r="G17" s="2" t="s">
        <v>218</v>
      </c>
      <c r="H17" s="47" t="s">
        <v>401</v>
      </c>
      <c r="I17" s="48">
        <v>546.17376033020105</v>
      </c>
    </row>
    <row r="18" spans="1:9" ht="17" x14ac:dyDescent="0.2">
      <c r="A18" s="44" t="s">
        <v>25</v>
      </c>
      <c r="B18" s="45" t="s">
        <v>160</v>
      </c>
      <c r="C18" s="45" t="s">
        <v>293</v>
      </c>
      <c r="D18" s="62" t="s">
        <v>464</v>
      </c>
      <c r="E18" s="45" t="s">
        <v>286</v>
      </c>
      <c r="F18" s="46" t="s">
        <v>10</v>
      </c>
      <c r="G18" s="2" t="s">
        <v>219</v>
      </c>
      <c r="H18" s="47" t="s">
        <v>389</v>
      </c>
      <c r="I18" s="48">
        <v>493.12778545412903</v>
      </c>
    </row>
    <row r="19" spans="1:9" ht="17" x14ac:dyDescent="0.2">
      <c r="A19" s="44" t="s">
        <v>26</v>
      </c>
      <c r="B19" s="45" t="s">
        <v>160</v>
      </c>
      <c r="C19" s="45" t="s">
        <v>293</v>
      </c>
      <c r="D19" s="62" t="s">
        <v>464</v>
      </c>
      <c r="E19" s="45" t="s">
        <v>286</v>
      </c>
      <c r="F19" s="46" t="s">
        <v>10</v>
      </c>
      <c r="G19" s="2" t="s">
        <v>214</v>
      </c>
      <c r="H19" s="47" t="s">
        <v>401</v>
      </c>
      <c r="I19" s="48">
        <v>82.542173517113696</v>
      </c>
    </row>
    <row r="20" spans="1:9" ht="17" x14ac:dyDescent="0.2">
      <c r="A20" s="44" t="s">
        <v>27</v>
      </c>
      <c r="B20" s="45" t="s">
        <v>160</v>
      </c>
      <c r="C20" s="45" t="s">
        <v>293</v>
      </c>
      <c r="D20" s="62" t="s">
        <v>464</v>
      </c>
      <c r="E20" s="45" t="s">
        <v>287</v>
      </c>
      <c r="F20" s="2" t="s">
        <v>287</v>
      </c>
      <c r="G20" s="2"/>
      <c r="H20" s="47" t="s">
        <v>400</v>
      </c>
      <c r="I20" s="48">
        <v>5.3535719604257404</v>
      </c>
    </row>
    <row r="21" spans="1:9" ht="17" x14ac:dyDescent="0.2">
      <c r="A21" s="44" t="s">
        <v>28</v>
      </c>
      <c r="B21" s="45" t="s">
        <v>160</v>
      </c>
      <c r="C21" s="45" t="s">
        <v>293</v>
      </c>
      <c r="D21" s="62" t="s">
        <v>464</v>
      </c>
      <c r="E21" s="45" t="s">
        <v>286</v>
      </c>
      <c r="F21" s="2" t="s">
        <v>286</v>
      </c>
      <c r="G21" s="2" t="s">
        <v>215</v>
      </c>
      <c r="H21" s="47" t="s">
        <v>397</v>
      </c>
      <c r="I21" s="48">
        <v>3661.3206785873199</v>
      </c>
    </row>
    <row r="22" spans="1:9" ht="17" x14ac:dyDescent="0.2">
      <c r="A22" s="44" t="s">
        <v>29</v>
      </c>
      <c r="B22" s="45" t="s">
        <v>160</v>
      </c>
      <c r="C22" s="45" t="s">
        <v>293</v>
      </c>
      <c r="D22" s="62" t="s">
        <v>464</v>
      </c>
      <c r="E22" s="45" t="s">
        <v>10</v>
      </c>
      <c r="F22" s="46" t="s">
        <v>10</v>
      </c>
      <c r="G22" s="2"/>
      <c r="H22" s="47" t="s">
        <v>316</v>
      </c>
      <c r="I22" s="2" t="s">
        <v>10</v>
      </c>
    </row>
    <row r="23" spans="1:9" ht="17" x14ac:dyDescent="0.2">
      <c r="A23" s="44" t="s">
        <v>30</v>
      </c>
      <c r="B23" s="45" t="s">
        <v>160</v>
      </c>
      <c r="C23" s="45" t="s">
        <v>293</v>
      </c>
      <c r="D23" s="62" t="s">
        <v>464</v>
      </c>
      <c r="E23" s="45" t="s">
        <v>287</v>
      </c>
      <c r="F23" s="46" t="s">
        <v>10</v>
      </c>
      <c r="G23" s="2"/>
      <c r="H23" s="47" t="s">
        <v>312</v>
      </c>
      <c r="I23" s="2" t="s">
        <v>10</v>
      </c>
    </row>
    <row r="24" spans="1:9" ht="17" x14ac:dyDescent="0.2">
      <c r="A24" s="44" t="s">
        <v>31</v>
      </c>
      <c r="B24" s="45" t="s">
        <v>160</v>
      </c>
      <c r="C24" s="45" t="s">
        <v>293</v>
      </c>
      <c r="D24" s="62" t="s">
        <v>464</v>
      </c>
      <c r="E24" s="45" t="s">
        <v>286</v>
      </c>
      <c r="F24" s="2" t="s">
        <v>10</v>
      </c>
      <c r="G24" s="2" t="s">
        <v>222</v>
      </c>
      <c r="H24" s="47" t="s">
        <v>308</v>
      </c>
      <c r="I24" s="48">
        <v>611.14556163108705</v>
      </c>
    </row>
    <row r="25" spans="1:9" ht="17" x14ac:dyDescent="0.2">
      <c r="A25" s="44" t="s">
        <v>32</v>
      </c>
      <c r="B25" s="45" t="s">
        <v>160</v>
      </c>
      <c r="C25" s="45" t="s">
        <v>293</v>
      </c>
      <c r="D25" s="62" t="s">
        <v>464</v>
      </c>
      <c r="E25" s="45" t="s">
        <v>10</v>
      </c>
      <c r="F25" s="46" t="s">
        <v>10</v>
      </c>
      <c r="G25" s="2"/>
      <c r="H25" s="47" t="s">
        <v>317</v>
      </c>
      <c r="I25" s="2" t="s">
        <v>10</v>
      </c>
    </row>
    <row r="26" spans="1:9" ht="17" x14ac:dyDescent="0.2">
      <c r="A26" s="44" t="s">
        <v>33</v>
      </c>
      <c r="B26" s="45" t="s">
        <v>160</v>
      </c>
      <c r="C26" s="45" t="s">
        <v>293</v>
      </c>
      <c r="D26" s="62" t="s">
        <v>464</v>
      </c>
      <c r="E26" s="45" t="s">
        <v>286</v>
      </c>
      <c r="F26" s="2" t="s">
        <v>10</v>
      </c>
      <c r="G26" s="2" t="s">
        <v>227</v>
      </c>
      <c r="H26" s="47" t="s">
        <v>311</v>
      </c>
      <c r="I26" s="48">
        <v>553.01428172466399</v>
      </c>
    </row>
    <row r="27" spans="1:9" ht="17" x14ac:dyDescent="0.2">
      <c r="A27" s="44" t="s">
        <v>34</v>
      </c>
      <c r="B27" s="45" t="s">
        <v>160</v>
      </c>
      <c r="C27" s="45" t="s">
        <v>293</v>
      </c>
      <c r="D27" s="62" t="s">
        <v>464</v>
      </c>
      <c r="E27" s="45" t="s">
        <v>287</v>
      </c>
      <c r="F27" s="2" t="s">
        <v>286</v>
      </c>
      <c r="G27" s="2" t="s">
        <v>225</v>
      </c>
      <c r="H27" s="47" t="s">
        <v>319</v>
      </c>
      <c r="I27" s="48">
        <v>45347.208278898303</v>
      </c>
    </row>
    <row r="28" spans="1:9" ht="17" x14ac:dyDescent="0.2">
      <c r="A28" s="44" t="s">
        <v>35</v>
      </c>
      <c r="B28" s="45" t="s">
        <v>160</v>
      </c>
      <c r="C28" s="45" t="s">
        <v>293</v>
      </c>
      <c r="D28" s="62" t="s">
        <v>464</v>
      </c>
      <c r="E28" s="45" t="s">
        <v>286</v>
      </c>
      <c r="F28" s="2" t="s">
        <v>286</v>
      </c>
      <c r="G28" s="2" t="s">
        <v>226</v>
      </c>
      <c r="H28" s="47" t="s">
        <v>314</v>
      </c>
      <c r="I28" s="48">
        <v>59.718601769899102</v>
      </c>
    </row>
    <row r="29" spans="1:9" ht="17" x14ac:dyDescent="0.2">
      <c r="A29" s="44" t="s">
        <v>36</v>
      </c>
      <c r="B29" s="45" t="s">
        <v>160</v>
      </c>
      <c r="C29" s="45" t="s">
        <v>293</v>
      </c>
      <c r="D29" s="62" t="s">
        <v>464</v>
      </c>
      <c r="E29" s="45" t="s">
        <v>286</v>
      </c>
      <c r="F29" s="2" t="s">
        <v>286</v>
      </c>
      <c r="G29" s="2" t="s">
        <v>224</v>
      </c>
      <c r="H29" s="47" t="s">
        <v>310</v>
      </c>
      <c r="I29" s="48">
        <v>49691.425954670798</v>
      </c>
    </row>
    <row r="30" spans="1:9" ht="17" x14ac:dyDescent="0.2">
      <c r="A30" s="44" t="s">
        <v>37</v>
      </c>
      <c r="B30" s="45" t="s">
        <v>160</v>
      </c>
      <c r="C30" s="45" t="s">
        <v>293</v>
      </c>
      <c r="D30" s="62" t="s">
        <v>464</v>
      </c>
      <c r="E30" s="45" t="s">
        <v>286</v>
      </c>
      <c r="F30" s="2" t="s">
        <v>10</v>
      </c>
      <c r="G30" s="2" t="s">
        <v>223</v>
      </c>
      <c r="H30" s="47" t="s">
        <v>307</v>
      </c>
      <c r="I30" s="48">
        <v>467.88899409182</v>
      </c>
    </row>
    <row r="31" spans="1:9" ht="17" x14ac:dyDescent="0.2">
      <c r="A31" s="44" t="s">
        <v>38</v>
      </c>
      <c r="B31" s="45" t="s">
        <v>160</v>
      </c>
      <c r="C31" s="45" t="s">
        <v>294</v>
      </c>
      <c r="D31" s="62" t="s">
        <v>464</v>
      </c>
      <c r="E31" s="45" t="s">
        <v>10</v>
      </c>
      <c r="F31" s="2" t="s">
        <v>10</v>
      </c>
      <c r="G31" s="2"/>
      <c r="H31" s="47" t="s">
        <v>315</v>
      </c>
      <c r="I31" s="2" t="s">
        <v>10</v>
      </c>
    </row>
    <row r="32" spans="1:9" ht="17" x14ac:dyDescent="0.2">
      <c r="A32" s="44" t="s">
        <v>39</v>
      </c>
      <c r="B32" s="45" t="s">
        <v>160</v>
      </c>
      <c r="C32" s="45" t="s">
        <v>294</v>
      </c>
      <c r="D32" s="62" t="s">
        <v>464</v>
      </c>
      <c r="E32" s="45" t="s">
        <v>286</v>
      </c>
      <c r="F32" s="2" t="s">
        <v>286</v>
      </c>
      <c r="G32" s="2" t="s">
        <v>228</v>
      </c>
      <c r="H32" s="47" t="s">
        <v>309</v>
      </c>
      <c r="I32" s="48">
        <v>1277.2984846555401</v>
      </c>
    </row>
    <row r="33" spans="1:9" ht="17" x14ac:dyDescent="0.2">
      <c r="A33" s="44" t="s">
        <v>40</v>
      </c>
      <c r="B33" s="45" t="s">
        <v>160</v>
      </c>
      <c r="C33" s="45" t="s">
        <v>294</v>
      </c>
      <c r="D33" s="62" t="s">
        <v>464</v>
      </c>
      <c r="E33" s="45" t="s">
        <v>286</v>
      </c>
      <c r="F33" s="2" t="s">
        <v>10</v>
      </c>
      <c r="G33" s="2" t="s">
        <v>230</v>
      </c>
      <c r="H33" s="47" t="s">
        <v>325</v>
      </c>
      <c r="I33" s="48">
        <v>1099.8946652331899</v>
      </c>
    </row>
    <row r="34" spans="1:9" ht="17" x14ac:dyDescent="0.2">
      <c r="A34" s="44" t="s">
        <v>41</v>
      </c>
      <c r="B34" s="45" t="s">
        <v>160</v>
      </c>
      <c r="C34" s="45" t="s">
        <v>294</v>
      </c>
      <c r="D34" s="62" t="s">
        <v>464</v>
      </c>
      <c r="E34" s="50" t="s">
        <v>286</v>
      </c>
      <c r="F34" s="2" t="s">
        <v>286</v>
      </c>
      <c r="G34" s="2" t="s">
        <v>231</v>
      </c>
      <c r="H34" s="47" t="s">
        <v>323</v>
      </c>
      <c r="I34" s="48">
        <v>2466.4420279086798</v>
      </c>
    </row>
    <row r="35" spans="1:9" ht="17" x14ac:dyDescent="0.2">
      <c r="A35" s="44" t="s">
        <v>42</v>
      </c>
      <c r="B35" s="45" t="s">
        <v>160</v>
      </c>
      <c r="C35" s="45" t="s">
        <v>294</v>
      </c>
      <c r="D35" s="62" t="s">
        <v>464</v>
      </c>
      <c r="E35" s="50" t="s">
        <v>286</v>
      </c>
      <c r="F35" s="2" t="s">
        <v>10</v>
      </c>
      <c r="G35" s="2" t="s">
        <v>232</v>
      </c>
      <c r="H35" s="47" t="s">
        <v>333</v>
      </c>
      <c r="I35" s="48">
        <v>47.138110718614499</v>
      </c>
    </row>
    <row r="36" spans="1:9" ht="17" x14ac:dyDescent="0.2">
      <c r="A36" s="44" t="s">
        <v>43</v>
      </c>
      <c r="B36" s="45" t="s">
        <v>160</v>
      </c>
      <c r="C36" s="45" t="s">
        <v>294</v>
      </c>
      <c r="D36" s="62" t="s">
        <v>464</v>
      </c>
      <c r="E36" s="45" t="s">
        <v>286</v>
      </c>
      <c r="F36" s="2" t="s">
        <v>10</v>
      </c>
      <c r="G36" s="2" t="s">
        <v>229</v>
      </c>
      <c r="H36" s="47" t="s">
        <v>335</v>
      </c>
      <c r="I36" s="49">
        <v>529.82333577378995</v>
      </c>
    </row>
    <row r="37" spans="1:9" ht="17" x14ac:dyDescent="0.2">
      <c r="A37" s="44" t="s">
        <v>44</v>
      </c>
      <c r="B37" s="45" t="s">
        <v>160</v>
      </c>
      <c r="C37" s="45" t="s">
        <v>294</v>
      </c>
      <c r="D37" s="62" t="s">
        <v>464</v>
      </c>
      <c r="E37" s="45" t="s">
        <v>286</v>
      </c>
      <c r="F37" s="2" t="s">
        <v>10</v>
      </c>
      <c r="G37" s="2" t="s">
        <v>233</v>
      </c>
      <c r="H37" s="47" t="s">
        <v>342</v>
      </c>
      <c r="I37" s="48">
        <v>2475.2437929434</v>
      </c>
    </row>
    <row r="38" spans="1:9" ht="17" x14ac:dyDescent="0.2">
      <c r="A38" s="44" t="s">
        <v>45</v>
      </c>
      <c r="B38" s="45" t="s">
        <v>160</v>
      </c>
      <c r="C38" s="45" t="s">
        <v>294</v>
      </c>
      <c r="D38" s="62" t="s">
        <v>464</v>
      </c>
      <c r="E38" s="45" t="s">
        <v>287</v>
      </c>
      <c r="F38" s="2" t="s">
        <v>10</v>
      </c>
      <c r="G38" s="2"/>
      <c r="H38" s="47" t="s">
        <v>343</v>
      </c>
      <c r="I38" s="2" t="s">
        <v>10</v>
      </c>
    </row>
    <row r="39" spans="1:9" ht="17" x14ac:dyDescent="0.2">
      <c r="A39" s="44" t="s">
        <v>46</v>
      </c>
      <c r="B39" s="45" t="s">
        <v>160</v>
      </c>
      <c r="C39" s="45" t="s">
        <v>294</v>
      </c>
      <c r="D39" s="62" t="s">
        <v>464</v>
      </c>
      <c r="E39" s="50" t="s">
        <v>286</v>
      </c>
      <c r="F39" s="2" t="s">
        <v>286</v>
      </c>
      <c r="G39" s="2" t="s">
        <v>234</v>
      </c>
      <c r="H39" s="47" t="s">
        <v>345</v>
      </c>
      <c r="I39" s="48">
        <v>19814.0067656908</v>
      </c>
    </row>
    <row r="40" spans="1:9" ht="17" x14ac:dyDescent="0.2">
      <c r="A40" s="44" t="s">
        <v>47</v>
      </c>
      <c r="B40" s="45" t="s">
        <v>160</v>
      </c>
      <c r="C40" s="45" t="s">
        <v>294</v>
      </c>
      <c r="D40" s="62" t="s">
        <v>464</v>
      </c>
      <c r="E40" s="50" t="s">
        <v>286</v>
      </c>
      <c r="F40" s="2" t="s">
        <v>287</v>
      </c>
      <c r="G40" s="2"/>
      <c r="H40" s="47" t="s">
        <v>322</v>
      </c>
      <c r="I40" s="48">
        <v>5.23547900385232</v>
      </c>
    </row>
    <row r="41" spans="1:9" ht="17" x14ac:dyDescent="0.2">
      <c r="A41" s="44" t="s">
        <v>48</v>
      </c>
      <c r="B41" s="45" t="s">
        <v>160</v>
      </c>
      <c r="C41" s="45" t="s">
        <v>295</v>
      </c>
      <c r="D41" s="62" t="s">
        <v>464</v>
      </c>
      <c r="E41" s="50" t="s">
        <v>286</v>
      </c>
      <c r="F41" s="2" t="s">
        <v>286</v>
      </c>
      <c r="G41" s="2" t="s">
        <v>190</v>
      </c>
      <c r="H41" s="47" t="s">
        <v>339</v>
      </c>
      <c r="I41" s="48">
        <v>1246.09354543529</v>
      </c>
    </row>
    <row r="42" spans="1:9" ht="17" x14ac:dyDescent="0.2">
      <c r="A42" s="44" t="s">
        <v>49</v>
      </c>
      <c r="B42" s="45" t="s">
        <v>160</v>
      </c>
      <c r="C42" s="45" t="s">
        <v>295</v>
      </c>
      <c r="D42" s="62" t="s">
        <v>464</v>
      </c>
      <c r="E42" s="50" t="s">
        <v>10</v>
      </c>
      <c r="F42" s="2" t="s">
        <v>10</v>
      </c>
      <c r="G42" s="2"/>
      <c r="H42" s="47" t="s">
        <v>334</v>
      </c>
      <c r="I42" s="2" t="s">
        <v>10</v>
      </c>
    </row>
    <row r="43" spans="1:9" ht="17" x14ac:dyDescent="0.2">
      <c r="A43" s="44" t="s">
        <v>50</v>
      </c>
      <c r="B43" s="45" t="s">
        <v>160</v>
      </c>
      <c r="C43" s="45" t="s">
        <v>295</v>
      </c>
      <c r="D43" s="62" t="s">
        <v>464</v>
      </c>
      <c r="E43" s="50" t="s">
        <v>286</v>
      </c>
      <c r="F43" s="2" t="s">
        <v>10</v>
      </c>
      <c r="G43" s="2" t="s">
        <v>191</v>
      </c>
      <c r="H43" s="47" t="s">
        <v>341</v>
      </c>
      <c r="I43" s="48">
        <v>135.917708966866</v>
      </c>
    </row>
    <row r="44" spans="1:9" ht="17" x14ac:dyDescent="0.2">
      <c r="A44" s="44" t="s">
        <v>51</v>
      </c>
      <c r="B44" s="45" t="s">
        <v>160</v>
      </c>
      <c r="C44" s="45" t="s">
        <v>295</v>
      </c>
      <c r="D44" s="62" t="s">
        <v>464</v>
      </c>
      <c r="E44" s="50" t="s">
        <v>286</v>
      </c>
      <c r="F44" s="2" t="s">
        <v>286</v>
      </c>
      <c r="G44" s="2" t="s">
        <v>192</v>
      </c>
      <c r="H44" s="47" t="s">
        <v>338</v>
      </c>
      <c r="I44" s="48">
        <v>47796.272230315997</v>
      </c>
    </row>
    <row r="45" spans="1:9" ht="17" x14ac:dyDescent="0.2">
      <c r="A45" s="44" t="s">
        <v>52</v>
      </c>
      <c r="B45" s="45" t="s">
        <v>160</v>
      </c>
      <c r="C45" s="45" t="s">
        <v>295</v>
      </c>
      <c r="D45" s="62" t="s">
        <v>464</v>
      </c>
      <c r="E45" s="50" t="s">
        <v>287</v>
      </c>
      <c r="F45" s="2" t="s">
        <v>10</v>
      </c>
      <c r="G45" s="2"/>
      <c r="H45" s="47" t="s">
        <v>337</v>
      </c>
      <c r="I45" s="48">
        <v>0.91444644784420304</v>
      </c>
    </row>
    <row r="46" spans="1:9" ht="17" x14ac:dyDescent="0.2">
      <c r="A46" s="51" t="s">
        <v>53</v>
      </c>
      <c r="B46" s="45" t="s">
        <v>160</v>
      </c>
      <c r="C46" s="45" t="s">
        <v>295</v>
      </c>
      <c r="D46" s="62" t="s">
        <v>464</v>
      </c>
      <c r="E46" s="50" t="s">
        <v>286</v>
      </c>
      <c r="F46" s="2" t="s">
        <v>10</v>
      </c>
      <c r="G46" s="2" t="s">
        <v>193</v>
      </c>
      <c r="H46" s="47" t="s">
        <v>336</v>
      </c>
      <c r="I46" s="48">
        <v>1203.0636708979901</v>
      </c>
    </row>
    <row r="47" spans="1:9" ht="17" x14ac:dyDescent="0.2">
      <c r="A47" s="51" t="s">
        <v>54</v>
      </c>
      <c r="B47" s="45" t="s">
        <v>160</v>
      </c>
      <c r="C47" s="45" t="s">
        <v>295</v>
      </c>
      <c r="D47" s="62" t="s">
        <v>464</v>
      </c>
      <c r="E47" s="50" t="s">
        <v>287</v>
      </c>
      <c r="F47" s="2" t="s">
        <v>10</v>
      </c>
      <c r="G47" s="2"/>
      <c r="H47" s="47" t="s">
        <v>344</v>
      </c>
      <c r="I47" s="48">
        <v>1.09796300413657</v>
      </c>
    </row>
    <row r="48" spans="1:9" ht="17" x14ac:dyDescent="0.2">
      <c r="A48" s="44" t="s">
        <v>55</v>
      </c>
      <c r="B48" s="45" t="s">
        <v>160</v>
      </c>
      <c r="C48" s="45" t="s">
        <v>295</v>
      </c>
      <c r="D48" s="62" t="s">
        <v>464</v>
      </c>
      <c r="E48" s="50" t="s">
        <v>286</v>
      </c>
      <c r="F48" s="2" t="s">
        <v>10</v>
      </c>
      <c r="G48" s="2" t="s">
        <v>194</v>
      </c>
      <c r="H48" s="47" t="s">
        <v>324</v>
      </c>
      <c r="I48" s="48">
        <v>603.20893275384003</v>
      </c>
    </row>
    <row r="49" spans="1:9" ht="17" x14ac:dyDescent="0.2">
      <c r="A49" s="44" t="s">
        <v>56</v>
      </c>
      <c r="B49" s="45" t="s">
        <v>160</v>
      </c>
      <c r="C49" s="45" t="s">
        <v>295</v>
      </c>
      <c r="D49" s="62" t="s">
        <v>464</v>
      </c>
      <c r="E49" s="50" t="s">
        <v>286</v>
      </c>
      <c r="F49" s="2" t="s">
        <v>286</v>
      </c>
      <c r="G49" s="2" t="s">
        <v>195</v>
      </c>
      <c r="H49" s="47" t="s">
        <v>347</v>
      </c>
      <c r="I49" s="48">
        <v>3975.2974701958601</v>
      </c>
    </row>
    <row r="50" spans="1:9" ht="17" x14ac:dyDescent="0.2">
      <c r="A50" s="44" t="s">
        <v>57</v>
      </c>
      <c r="B50" s="45" t="s">
        <v>160</v>
      </c>
      <c r="C50" s="45" t="s">
        <v>295</v>
      </c>
      <c r="D50" s="62" t="s">
        <v>464</v>
      </c>
      <c r="E50" s="50" t="s">
        <v>10</v>
      </c>
      <c r="F50" s="2" t="s">
        <v>10</v>
      </c>
      <c r="G50" s="2"/>
      <c r="H50" s="47" t="s">
        <v>349</v>
      </c>
      <c r="I50" s="2" t="s">
        <v>10</v>
      </c>
    </row>
    <row r="51" spans="1:9" ht="17" x14ac:dyDescent="0.2">
      <c r="A51" s="51" t="s">
        <v>58</v>
      </c>
      <c r="B51" s="45" t="s">
        <v>160</v>
      </c>
      <c r="C51" s="45" t="s">
        <v>295</v>
      </c>
      <c r="D51" s="62" t="s">
        <v>464</v>
      </c>
      <c r="E51" s="50" t="s">
        <v>286</v>
      </c>
      <c r="F51" s="2" t="s">
        <v>10</v>
      </c>
      <c r="G51" s="2" t="s">
        <v>196</v>
      </c>
      <c r="H51" s="47" t="s">
        <v>398</v>
      </c>
      <c r="I51" s="48">
        <v>2435.9097178049501</v>
      </c>
    </row>
    <row r="52" spans="1:9" ht="17" x14ac:dyDescent="0.2">
      <c r="A52" s="51" t="s">
        <v>59</v>
      </c>
      <c r="B52" s="45" t="s">
        <v>160</v>
      </c>
      <c r="C52" s="45" t="s">
        <v>295</v>
      </c>
      <c r="D52" s="62" t="s">
        <v>464</v>
      </c>
      <c r="E52" s="50" t="s">
        <v>287</v>
      </c>
      <c r="F52" s="2" t="s">
        <v>10</v>
      </c>
      <c r="G52" s="2"/>
      <c r="H52" s="47" t="s">
        <v>410</v>
      </c>
      <c r="I52" s="2" t="s">
        <v>10</v>
      </c>
    </row>
    <row r="53" spans="1:9" ht="17" x14ac:dyDescent="0.2">
      <c r="A53" s="51" t="s">
        <v>60</v>
      </c>
      <c r="B53" s="45" t="s">
        <v>160</v>
      </c>
      <c r="C53" s="45" t="s">
        <v>295</v>
      </c>
      <c r="D53" s="62" t="s">
        <v>464</v>
      </c>
      <c r="E53" s="50" t="s">
        <v>286</v>
      </c>
      <c r="F53" s="2" t="s">
        <v>286</v>
      </c>
      <c r="G53" s="2" t="s">
        <v>197</v>
      </c>
      <c r="H53" s="47" t="s">
        <v>419</v>
      </c>
      <c r="I53" s="48">
        <v>2802.5748011397</v>
      </c>
    </row>
    <row r="54" spans="1:9" ht="17" x14ac:dyDescent="0.2">
      <c r="A54" s="44" t="s">
        <v>61</v>
      </c>
      <c r="B54" s="45" t="s">
        <v>160</v>
      </c>
      <c r="C54" s="45" t="s">
        <v>295</v>
      </c>
      <c r="D54" s="62" t="s">
        <v>464</v>
      </c>
      <c r="E54" s="50" t="s">
        <v>10</v>
      </c>
      <c r="F54" s="2" t="s">
        <v>10</v>
      </c>
      <c r="G54" s="2"/>
      <c r="H54" s="47" t="s">
        <v>418</v>
      </c>
      <c r="I54" s="2" t="s">
        <v>10</v>
      </c>
    </row>
    <row r="55" spans="1:9" ht="17" x14ac:dyDescent="0.2">
      <c r="A55" s="51" t="s">
        <v>62</v>
      </c>
      <c r="B55" s="45" t="s">
        <v>160</v>
      </c>
      <c r="C55" s="45" t="s">
        <v>295</v>
      </c>
      <c r="D55" s="62" t="s">
        <v>464</v>
      </c>
      <c r="E55" s="50" t="s">
        <v>286</v>
      </c>
      <c r="F55" s="2" t="s">
        <v>10</v>
      </c>
      <c r="G55" s="2" t="s">
        <v>198</v>
      </c>
      <c r="H55" s="47" t="s">
        <v>417</v>
      </c>
      <c r="I55" s="48">
        <v>642.05872519874299</v>
      </c>
    </row>
    <row r="56" spans="1:9" ht="17" x14ac:dyDescent="0.2">
      <c r="A56" s="51" t="s">
        <v>63</v>
      </c>
      <c r="B56" s="45" t="s">
        <v>160</v>
      </c>
      <c r="C56" s="45" t="s">
        <v>295</v>
      </c>
      <c r="D56" s="62" t="s">
        <v>464</v>
      </c>
      <c r="E56" s="50" t="s">
        <v>286</v>
      </c>
      <c r="F56" s="2" t="s">
        <v>286</v>
      </c>
      <c r="G56" s="2" t="s">
        <v>200</v>
      </c>
      <c r="H56" s="47" t="s">
        <v>407</v>
      </c>
      <c r="I56" s="48">
        <v>5206.7391296686101</v>
      </c>
    </row>
    <row r="57" spans="1:9" ht="17" x14ac:dyDescent="0.2">
      <c r="A57" s="51" t="s">
        <v>64</v>
      </c>
      <c r="B57" s="45" t="s">
        <v>160</v>
      </c>
      <c r="C57" s="45" t="s">
        <v>295</v>
      </c>
      <c r="D57" s="62" t="s">
        <v>464</v>
      </c>
      <c r="E57" s="50" t="s">
        <v>286</v>
      </c>
      <c r="F57" s="2" t="s">
        <v>286</v>
      </c>
      <c r="G57" s="2" t="s">
        <v>199</v>
      </c>
      <c r="H57" s="47" t="s">
        <v>415</v>
      </c>
      <c r="I57" s="48">
        <v>954.02404517916705</v>
      </c>
    </row>
    <row r="58" spans="1:9" ht="17" x14ac:dyDescent="0.2">
      <c r="A58" s="51" t="s">
        <v>65</v>
      </c>
      <c r="B58" s="45" t="s">
        <v>160</v>
      </c>
      <c r="C58" s="45" t="s">
        <v>295</v>
      </c>
      <c r="D58" s="62" t="s">
        <v>464</v>
      </c>
      <c r="E58" s="50" t="s">
        <v>286</v>
      </c>
      <c r="F58" s="2" t="s">
        <v>286</v>
      </c>
      <c r="G58" s="2" t="s">
        <v>202</v>
      </c>
      <c r="H58" s="47" t="s">
        <v>409</v>
      </c>
      <c r="I58" s="48">
        <v>3958.8283289748802</v>
      </c>
    </row>
    <row r="59" spans="1:9" ht="17" x14ac:dyDescent="0.2">
      <c r="A59" s="51" t="s">
        <v>66</v>
      </c>
      <c r="B59" s="45" t="s">
        <v>160</v>
      </c>
      <c r="C59" s="45" t="s">
        <v>295</v>
      </c>
      <c r="D59" s="62" t="s">
        <v>464</v>
      </c>
      <c r="E59" s="50" t="s">
        <v>286</v>
      </c>
      <c r="F59" s="2" t="s">
        <v>286</v>
      </c>
      <c r="G59" s="2" t="s">
        <v>201</v>
      </c>
      <c r="H59" s="47" t="s">
        <v>411</v>
      </c>
      <c r="I59" s="48">
        <v>1645.09277482575</v>
      </c>
    </row>
    <row r="60" spans="1:9" ht="17" x14ac:dyDescent="0.2">
      <c r="A60" s="51" t="s">
        <v>67</v>
      </c>
      <c r="B60" s="45" t="s">
        <v>160</v>
      </c>
      <c r="C60" s="45" t="s">
        <v>295</v>
      </c>
      <c r="D60" s="62" t="s">
        <v>464</v>
      </c>
      <c r="E60" s="50" t="s">
        <v>287</v>
      </c>
      <c r="F60" s="2" t="s">
        <v>10</v>
      </c>
      <c r="G60" s="2"/>
      <c r="H60" s="47" t="s">
        <v>421</v>
      </c>
      <c r="I60" s="48">
        <v>1.9186471815772901</v>
      </c>
    </row>
    <row r="61" spans="1:9" ht="17" x14ac:dyDescent="0.2">
      <c r="A61" s="51" t="s">
        <v>68</v>
      </c>
      <c r="B61" s="45" t="s">
        <v>160</v>
      </c>
      <c r="C61" s="45" t="s">
        <v>295</v>
      </c>
      <c r="D61" s="62" t="s">
        <v>464</v>
      </c>
      <c r="E61" s="50" t="s">
        <v>287</v>
      </c>
      <c r="F61" s="2" t="s">
        <v>286</v>
      </c>
      <c r="G61" s="2" t="s">
        <v>203</v>
      </c>
      <c r="H61" s="47" t="s">
        <v>408</v>
      </c>
      <c r="I61" s="48">
        <v>18123.151949163599</v>
      </c>
    </row>
    <row r="62" spans="1:9" ht="17" x14ac:dyDescent="0.2">
      <c r="A62" s="51" t="s">
        <v>69</v>
      </c>
      <c r="B62" s="45" t="s">
        <v>160</v>
      </c>
      <c r="C62" s="45" t="s">
        <v>295</v>
      </c>
      <c r="D62" s="62" t="s">
        <v>464</v>
      </c>
      <c r="E62" s="50" t="s">
        <v>286</v>
      </c>
      <c r="F62" s="2" t="s">
        <v>10</v>
      </c>
      <c r="G62" s="2" t="s">
        <v>204</v>
      </c>
      <c r="H62" s="47" t="s">
        <v>402</v>
      </c>
      <c r="I62" s="48">
        <v>2917.6145237563901</v>
      </c>
    </row>
    <row r="63" spans="1:9" ht="17" x14ac:dyDescent="0.2">
      <c r="A63" s="51" t="s">
        <v>70</v>
      </c>
      <c r="B63" s="45" t="s">
        <v>160</v>
      </c>
      <c r="C63" s="45" t="s">
        <v>295</v>
      </c>
      <c r="D63" s="62" t="s">
        <v>464</v>
      </c>
      <c r="E63" s="50" t="s">
        <v>287</v>
      </c>
      <c r="F63" s="2" t="s">
        <v>286</v>
      </c>
      <c r="G63" s="2" t="s">
        <v>205</v>
      </c>
      <c r="H63" s="47" t="s">
        <v>416</v>
      </c>
      <c r="I63" s="48">
        <v>56683.292519241797</v>
      </c>
    </row>
    <row r="64" spans="1:9" ht="17" x14ac:dyDescent="0.2">
      <c r="A64" s="44" t="s">
        <v>71</v>
      </c>
      <c r="B64" s="45" t="s">
        <v>160</v>
      </c>
      <c r="C64" s="45" t="s">
        <v>295</v>
      </c>
      <c r="D64" s="62" t="s">
        <v>464</v>
      </c>
      <c r="E64" s="50" t="s">
        <v>286</v>
      </c>
      <c r="F64" s="2" t="s">
        <v>286</v>
      </c>
      <c r="G64" s="2" t="s">
        <v>206</v>
      </c>
      <c r="H64" s="47" t="s">
        <v>413</v>
      </c>
      <c r="I64" s="48">
        <v>2914.6824778443502</v>
      </c>
    </row>
    <row r="65" spans="1:9" ht="17" x14ac:dyDescent="0.2">
      <c r="A65" s="44" t="s">
        <v>72</v>
      </c>
      <c r="B65" s="45" t="s">
        <v>160</v>
      </c>
      <c r="C65" s="45" t="s">
        <v>295</v>
      </c>
      <c r="D65" s="62" t="s">
        <v>464</v>
      </c>
      <c r="E65" s="50" t="s">
        <v>286</v>
      </c>
      <c r="F65" s="2" t="s">
        <v>10</v>
      </c>
      <c r="G65" s="2" t="s">
        <v>207</v>
      </c>
      <c r="H65" s="47" t="s">
        <v>428</v>
      </c>
      <c r="I65" s="48">
        <v>237.419230173844</v>
      </c>
    </row>
    <row r="66" spans="1:9" ht="17" x14ac:dyDescent="0.2">
      <c r="A66" s="44" t="s">
        <v>73</v>
      </c>
      <c r="B66" s="45" t="s">
        <v>160</v>
      </c>
      <c r="C66" s="45" t="s">
        <v>295</v>
      </c>
      <c r="D66" s="62" t="s">
        <v>464</v>
      </c>
      <c r="E66" s="50" t="s">
        <v>287</v>
      </c>
      <c r="F66" s="2" t="s">
        <v>287</v>
      </c>
      <c r="G66" s="2"/>
      <c r="H66" s="47" t="s">
        <v>424</v>
      </c>
      <c r="I66" s="48">
        <v>0.97809124515416901</v>
      </c>
    </row>
    <row r="67" spans="1:9" ht="17" x14ac:dyDescent="0.2">
      <c r="A67" s="44" t="s">
        <v>74</v>
      </c>
      <c r="B67" s="45" t="s">
        <v>160</v>
      </c>
      <c r="C67" s="45" t="s">
        <v>295</v>
      </c>
      <c r="D67" s="62" t="s">
        <v>464</v>
      </c>
      <c r="E67" s="50" t="s">
        <v>286</v>
      </c>
      <c r="F67" s="2" t="s">
        <v>10</v>
      </c>
      <c r="G67" s="2" t="s">
        <v>208</v>
      </c>
      <c r="H67" s="47" t="s">
        <v>404</v>
      </c>
      <c r="I67" s="48">
        <v>205.35557080987101</v>
      </c>
    </row>
    <row r="68" spans="1:9" ht="17" x14ac:dyDescent="0.2">
      <c r="A68" s="44" t="s">
        <v>75</v>
      </c>
      <c r="B68" s="45" t="s">
        <v>160</v>
      </c>
      <c r="C68" s="45" t="s">
        <v>296</v>
      </c>
      <c r="D68" s="62" t="s">
        <v>464</v>
      </c>
      <c r="E68" s="50" t="s">
        <v>286</v>
      </c>
      <c r="F68" s="2" t="s">
        <v>10</v>
      </c>
      <c r="G68" s="2" t="s">
        <v>235</v>
      </c>
      <c r="H68" s="47" t="s">
        <v>426</v>
      </c>
      <c r="I68" s="48">
        <v>489.12550187189902</v>
      </c>
    </row>
    <row r="69" spans="1:9" ht="17" x14ac:dyDescent="0.2">
      <c r="A69" s="44" t="s">
        <v>76</v>
      </c>
      <c r="B69" s="45" t="s">
        <v>160</v>
      </c>
      <c r="C69" s="45" t="s">
        <v>296</v>
      </c>
      <c r="D69" s="62" t="s">
        <v>464</v>
      </c>
      <c r="E69" s="50" t="s">
        <v>286</v>
      </c>
      <c r="F69" s="2" t="s">
        <v>10</v>
      </c>
      <c r="G69" s="2" t="s">
        <v>236</v>
      </c>
      <c r="H69" s="47" t="s">
        <v>425</v>
      </c>
      <c r="I69" s="48">
        <v>653.925479681723</v>
      </c>
    </row>
    <row r="70" spans="1:9" ht="17" x14ac:dyDescent="0.2">
      <c r="A70" s="44" t="s">
        <v>77</v>
      </c>
      <c r="B70" s="45" t="s">
        <v>160</v>
      </c>
      <c r="C70" s="45" t="s">
        <v>296</v>
      </c>
      <c r="D70" s="62" t="s">
        <v>464</v>
      </c>
      <c r="E70" s="50" t="s">
        <v>286</v>
      </c>
      <c r="F70" s="2" t="s">
        <v>286</v>
      </c>
      <c r="G70" s="2" t="s">
        <v>237</v>
      </c>
      <c r="H70" s="47" t="s">
        <v>404</v>
      </c>
      <c r="I70" s="48">
        <v>62982.912431559504</v>
      </c>
    </row>
    <row r="71" spans="1:9" ht="17" x14ac:dyDescent="0.2">
      <c r="A71" s="44" t="s">
        <v>78</v>
      </c>
      <c r="B71" s="45" t="s">
        <v>160</v>
      </c>
      <c r="C71" s="45" t="s">
        <v>296</v>
      </c>
      <c r="D71" s="62" t="s">
        <v>464</v>
      </c>
      <c r="E71" s="50" t="s">
        <v>10</v>
      </c>
      <c r="F71" s="2" t="s">
        <v>10</v>
      </c>
      <c r="G71" s="2"/>
      <c r="H71" s="47" t="s">
        <v>427</v>
      </c>
      <c r="I71" s="48" t="s">
        <v>10</v>
      </c>
    </row>
    <row r="72" spans="1:9" ht="17" x14ac:dyDescent="0.2">
      <c r="A72" s="44" t="s">
        <v>79</v>
      </c>
      <c r="B72" s="45" t="s">
        <v>160</v>
      </c>
      <c r="C72" s="45" t="s">
        <v>296</v>
      </c>
      <c r="D72" s="62" t="s">
        <v>464</v>
      </c>
      <c r="E72" s="50" t="s">
        <v>286</v>
      </c>
      <c r="F72" s="2" t="s">
        <v>10</v>
      </c>
      <c r="G72" s="2" t="s">
        <v>238</v>
      </c>
      <c r="H72" s="47" t="s">
        <v>403</v>
      </c>
      <c r="I72" s="48">
        <v>1357.8919948616699</v>
      </c>
    </row>
    <row r="73" spans="1:9" ht="17" x14ac:dyDescent="0.2">
      <c r="A73" s="44" t="s">
        <v>80</v>
      </c>
      <c r="B73" s="45" t="s">
        <v>160</v>
      </c>
      <c r="C73" s="45" t="s">
        <v>297</v>
      </c>
      <c r="D73" s="62" t="s">
        <v>464</v>
      </c>
      <c r="E73" s="50" t="s">
        <v>10</v>
      </c>
      <c r="F73" s="2" t="s">
        <v>10</v>
      </c>
      <c r="G73" s="2"/>
      <c r="H73" s="47" t="s">
        <v>423</v>
      </c>
      <c r="I73" s="2" t="s">
        <v>10</v>
      </c>
    </row>
    <row r="74" spans="1:9" ht="17" x14ac:dyDescent="0.2">
      <c r="A74" s="44" t="s">
        <v>81</v>
      </c>
      <c r="B74" s="45" t="s">
        <v>160</v>
      </c>
      <c r="C74" s="45" t="s">
        <v>297</v>
      </c>
      <c r="D74" s="62" t="s">
        <v>464</v>
      </c>
      <c r="E74" s="50" t="s">
        <v>286</v>
      </c>
      <c r="F74" s="2" t="s">
        <v>286</v>
      </c>
      <c r="G74" s="2" t="s">
        <v>239</v>
      </c>
      <c r="H74" s="47" t="s">
        <v>405</v>
      </c>
      <c r="I74" s="52">
        <v>4506.78</v>
      </c>
    </row>
    <row r="75" spans="1:9" ht="17" x14ac:dyDescent="0.2">
      <c r="A75" s="44" t="s">
        <v>82</v>
      </c>
      <c r="B75" s="45" t="s">
        <v>160</v>
      </c>
      <c r="C75" s="45" t="s">
        <v>298</v>
      </c>
      <c r="D75" s="62" t="s">
        <v>464</v>
      </c>
      <c r="E75" s="50" t="s">
        <v>286</v>
      </c>
      <c r="F75" s="2" t="s">
        <v>10</v>
      </c>
      <c r="G75" s="2" t="s">
        <v>240</v>
      </c>
      <c r="H75" s="47" t="s">
        <v>406</v>
      </c>
      <c r="I75" s="48">
        <v>269.69005857692099</v>
      </c>
    </row>
    <row r="76" spans="1:9" ht="17" x14ac:dyDescent="0.2">
      <c r="A76" s="44" t="s">
        <v>83</v>
      </c>
      <c r="B76" s="45" t="s">
        <v>160</v>
      </c>
      <c r="C76" s="45" t="s">
        <v>298</v>
      </c>
      <c r="D76" s="62" t="s">
        <v>464</v>
      </c>
      <c r="E76" s="50" t="s">
        <v>286</v>
      </c>
      <c r="F76" s="2" t="s">
        <v>10</v>
      </c>
      <c r="G76" s="2" t="s">
        <v>241</v>
      </c>
      <c r="H76" s="47" t="s">
        <v>438</v>
      </c>
      <c r="I76" s="48">
        <v>1130.62112243046</v>
      </c>
    </row>
    <row r="77" spans="1:9" ht="17" x14ac:dyDescent="0.2">
      <c r="A77" s="44" t="s">
        <v>84</v>
      </c>
      <c r="B77" s="45" t="s">
        <v>160</v>
      </c>
      <c r="C77" s="45" t="s">
        <v>298</v>
      </c>
      <c r="D77" s="62" t="s">
        <v>464</v>
      </c>
      <c r="E77" s="50" t="s">
        <v>10</v>
      </c>
      <c r="F77" s="2" t="s">
        <v>10</v>
      </c>
      <c r="G77" s="2"/>
      <c r="H77" s="47" t="s">
        <v>449</v>
      </c>
      <c r="I77" s="2" t="s">
        <v>10</v>
      </c>
    </row>
    <row r="78" spans="1:9" ht="17" x14ac:dyDescent="0.2">
      <c r="A78" s="44" t="s">
        <v>85</v>
      </c>
      <c r="B78" s="45" t="s">
        <v>160</v>
      </c>
      <c r="C78" s="45" t="s">
        <v>298</v>
      </c>
      <c r="D78" s="62" t="s">
        <v>464</v>
      </c>
      <c r="E78" s="50" t="s">
        <v>10</v>
      </c>
      <c r="F78" s="2" t="s">
        <v>10</v>
      </c>
      <c r="G78" s="2"/>
      <c r="H78" s="47" t="s">
        <v>450</v>
      </c>
      <c r="I78" s="2" t="s">
        <v>10</v>
      </c>
    </row>
    <row r="79" spans="1:9" ht="17" x14ac:dyDescent="0.2">
      <c r="A79" s="44" t="s">
        <v>86</v>
      </c>
      <c r="B79" s="45" t="s">
        <v>160</v>
      </c>
      <c r="C79" s="45" t="s">
        <v>298</v>
      </c>
      <c r="D79" s="62" t="s">
        <v>464</v>
      </c>
      <c r="E79" s="50" t="s">
        <v>286</v>
      </c>
      <c r="F79" s="2" t="s">
        <v>286</v>
      </c>
      <c r="G79" s="2" t="s">
        <v>242</v>
      </c>
      <c r="H79" s="47" t="s">
        <v>439</v>
      </c>
      <c r="I79" s="48">
        <v>2960.21682387383</v>
      </c>
    </row>
    <row r="80" spans="1:9" ht="17" x14ac:dyDescent="0.2">
      <c r="A80" s="44" t="s">
        <v>87</v>
      </c>
      <c r="B80" s="45" t="s">
        <v>160</v>
      </c>
      <c r="C80" s="45" t="s">
        <v>298</v>
      </c>
      <c r="D80" s="62" t="s">
        <v>464</v>
      </c>
      <c r="E80" s="50" t="s">
        <v>286</v>
      </c>
      <c r="F80" s="2" t="s">
        <v>286</v>
      </c>
      <c r="G80" s="2" t="s">
        <v>243</v>
      </c>
      <c r="H80" s="47" t="s">
        <v>441</v>
      </c>
      <c r="I80" s="48">
        <v>1692.97922694217</v>
      </c>
    </row>
    <row r="81" spans="1:9" ht="17" x14ac:dyDescent="0.2">
      <c r="A81" s="44" t="s">
        <v>88</v>
      </c>
      <c r="B81" s="45" t="s">
        <v>160</v>
      </c>
      <c r="C81" s="45" t="s">
        <v>298</v>
      </c>
      <c r="D81" s="62" t="s">
        <v>464</v>
      </c>
      <c r="E81" s="50" t="s">
        <v>286</v>
      </c>
      <c r="F81" s="2" t="s">
        <v>286</v>
      </c>
      <c r="G81" s="2" t="s">
        <v>244</v>
      </c>
      <c r="H81" s="47" t="s">
        <v>433</v>
      </c>
      <c r="I81" s="48">
        <v>2576.2752443119298</v>
      </c>
    </row>
    <row r="82" spans="1:9" ht="17" x14ac:dyDescent="0.2">
      <c r="A82" s="44" t="s">
        <v>89</v>
      </c>
      <c r="B82" s="45" t="s">
        <v>160</v>
      </c>
      <c r="C82" s="45" t="s">
        <v>298</v>
      </c>
      <c r="D82" s="62" t="s">
        <v>464</v>
      </c>
      <c r="E82" s="50" t="s">
        <v>286</v>
      </c>
      <c r="F82" s="2" t="s">
        <v>286</v>
      </c>
      <c r="G82" s="2" t="s">
        <v>245</v>
      </c>
      <c r="H82" s="47" t="s">
        <v>435</v>
      </c>
      <c r="I82" s="48">
        <v>4147.7413075938002</v>
      </c>
    </row>
    <row r="83" spans="1:9" ht="17" x14ac:dyDescent="0.2">
      <c r="A83" s="44" t="s">
        <v>90</v>
      </c>
      <c r="B83" s="45" t="s">
        <v>160</v>
      </c>
      <c r="C83" s="45" t="s">
        <v>298</v>
      </c>
      <c r="D83" s="62" t="s">
        <v>464</v>
      </c>
      <c r="E83" s="50" t="s">
        <v>286</v>
      </c>
      <c r="F83" s="2" t="s">
        <v>286</v>
      </c>
      <c r="G83" s="2" t="s">
        <v>246</v>
      </c>
      <c r="H83" s="47" t="s">
        <v>434</v>
      </c>
      <c r="I83" s="48">
        <v>4751.5857498038804</v>
      </c>
    </row>
    <row r="84" spans="1:9" ht="17" x14ac:dyDescent="0.2">
      <c r="A84" s="44" t="s">
        <v>91</v>
      </c>
      <c r="B84" s="45" t="s">
        <v>160</v>
      </c>
      <c r="C84" s="45" t="s">
        <v>298</v>
      </c>
      <c r="D84" s="62" t="s">
        <v>464</v>
      </c>
      <c r="E84" s="50" t="s">
        <v>287</v>
      </c>
      <c r="F84" s="2" t="s">
        <v>10</v>
      </c>
      <c r="G84" s="2"/>
      <c r="H84" s="47" t="s">
        <v>431</v>
      </c>
      <c r="I84" s="2" t="s">
        <v>10</v>
      </c>
    </row>
    <row r="85" spans="1:9" ht="17" x14ac:dyDescent="0.2">
      <c r="A85" s="44" t="s">
        <v>92</v>
      </c>
      <c r="B85" s="45" t="s">
        <v>160</v>
      </c>
      <c r="C85" s="45" t="s">
        <v>456</v>
      </c>
      <c r="D85" s="62" t="s">
        <v>464</v>
      </c>
      <c r="E85" s="50" t="s">
        <v>10</v>
      </c>
      <c r="F85" s="2" t="s">
        <v>10</v>
      </c>
      <c r="G85" s="2"/>
      <c r="H85" s="47" t="s">
        <v>437</v>
      </c>
      <c r="I85" s="2" t="s">
        <v>10</v>
      </c>
    </row>
    <row r="86" spans="1:9" ht="17" x14ac:dyDescent="0.2">
      <c r="A86" s="44" t="s">
        <v>93</v>
      </c>
      <c r="B86" s="45" t="s">
        <v>160</v>
      </c>
      <c r="C86" s="45" t="s">
        <v>304</v>
      </c>
      <c r="D86" s="62" t="s">
        <v>464</v>
      </c>
      <c r="E86" s="50" t="s">
        <v>286</v>
      </c>
      <c r="F86" s="2" t="s">
        <v>10</v>
      </c>
      <c r="G86" s="2" t="s">
        <v>247</v>
      </c>
      <c r="H86" s="47" t="s">
        <v>429</v>
      </c>
      <c r="I86" s="48">
        <v>1173.7671236181</v>
      </c>
    </row>
    <row r="87" spans="1:9" ht="17" x14ac:dyDescent="0.2">
      <c r="A87" s="44" t="s">
        <v>94</v>
      </c>
      <c r="B87" s="45" t="s">
        <v>160</v>
      </c>
      <c r="C87" s="45" t="s">
        <v>304</v>
      </c>
      <c r="D87" s="62" t="s">
        <v>464</v>
      </c>
      <c r="E87" s="50" t="s">
        <v>286</v>
      </c>
      <c r="F87" s="2" t="s">
        <v>286</v>
      </c>
      <c r="G87" s="2" t="s">
        <v>248</v>
      </c>
      <c r="H87" s="47" t="s">
        <v>432</v>
      </c>
      <c r="I87" s="48">
        <v>83.227931418470007</v>
      </c>
    </row>
    <row r="88" spans="1:9" ht="17" x14ac:dyDescent="0.2">
      <c r="A88" s="51" t="s">
        <v>95</v>
      </c>
      <c r="B88" s="53" t="s">
        <v>161</v>
      </c>
      <c r="C88" s="53" t="s">
        <v>299</v>
      </c>
      <c r="D88" s="62" t="s">
        <v>464</v>
      </c>
      <c r="E88" s="50" t="s">
        <v>286</v>
      </c>
      <c r="F88" s="2" t="s">
        <v>286</v>
      </c>
      <c r="G88" s="2" t="s">
        <v>249</v>
      </c>
      <c r="H88" s="47" t="s">
        <v>328</v>
      </c>
      <c r="I88" s="48">
        <v>5491.5863030371502</v>
      </c>
    </row>
    <row r="89" spans="1:9" ht="17" x14ac:dyDescent="0.2">
      <c r="A89" s="51" t="s">
        <v>96</v>
      </c>
      <c r="B89" s="53" t="s">
        <v>161</v>
      </c>
      <c r="C89" s="53" t="s">
        <v>299</v>
      </c>
      <c r="D89" s="62" t="s">
        <v>464</v>
      </c>
      <c r="E89" s="50" t="s">
        <v>286</v>
      </c>
      <c r="F89" s="2" t="s">
        <v>286</v>
      </c>
      <c r="G89" s="2" t="s">
        <v>250</v>
      </c>
      <c r="H89" s="47" t="s">
        <v>332</v>
      </c>
      <c r="I89" s="48">
        <v>35.685340537765001</v>
      </c>
    </row>
    <row r="90" spans="1:9" ht="17" x14ac:dyDescent="0.2">
      <c r="A90" s="51" t="s">
        <v>97</v>
      </c>
      <c r="B90" s="53" t="s">
        <v>161</v>
      </c>
      <c r="C90" s="53" t="s">
        <v>299</v>
      </c>
      <c r="D90" s="62" t="s">
        <v>464</v>
      </c>
      <c r="E90" s="50" t="s">
        <v>286</v>
      </c>
      <c r="F90" s="2" t="s">
        <v>286</v>
      </c>
      <c r="G90" s="2" t="s">
        <v>251</v>
      </c>
      <c r="H90" s="47" t="s">
        <v>327</v>
      </c>
      <c r="I90" s="48">
        <v>15162.5860837279</v>
      </c>
    </row>
    <row r="91" spans="1:9" ht="17" x14ac:dyDescent="0.2">
      <c r="A91" s="51" t="s">
        <v>98</v>
      </c>
      <c r="B91" s="53" t="s">
        <v>161</v>
      </c>
      <c r="C91" s="53" t="s">
        <v>299</v>
      </c>
      <c r="D91" s="62" t="s">
        <v>464</v>
      </c>
      <c r="E91" s="50" t="s">
        <v>286</v>
      </c>
      <c r="F91" s="2" t="s">
        <v>287</v>
      </c>
      <c r="G91" s="2" t="s">
        <v>252</v>
      </c>
      <c r="H91" s="47" t="s">
        <v>350</v>
      </c>
      <c r="I91" s="48">
        <v>206.78744415122699</v>
      </c>
    </row>
    <row r="92" spans="1:9" ht="17" x14ac:dyDescent="0.2">
      <c r="A92" s="51" t="s">
        <v>99</v>
      </c>
      <c r="B92" s="53" t="s">
        <v>161</v>
      </c>
      <c r="C92" s="53" t="s">
        <v>299</v>
      </c>
      <c r="D92" s="62" t="s">
        <v>464</v>
      </c>
      <c r="E92" s="50" t="s">
        <v>286</v>
      </c>
      <c r="F92" s="2" t="s">
        <v>286</v>
      </c>
      <c r="G92" s="2" t="s">
        <v>253</v>
      </c>
      <c r="H92" s="47" t="s">
        <v>353</v>
      </c>
      <c r="I92" s="48">
        <v>12582.5245787927</v>
      </c>
    </row>
    <row r="93" spans="1:9" ht="17" x14ac:dyDescent="0.2">
      <c r="A93" s="51" t="s">
        <v>100</v>
      </c>
      <c r="B93" s="53" t="s">
        <v>161</v>
      </c>
      <c r="C93" s="53" t="s">
        <v>299</v>
      </c>
      <c r="D93" s="62" t="s">
        <v>464</v>
      </c>
      <c r="E93" s="50" t="s">
        <v>286</v>
      </c>
      <c r="F93" s="2" t="s">
        <v>10</v>
      </c>
      <c r="G93" s="2" t="s">
        <v>258</v>
      </c>
      <c r="H93" s="47" t="s">
        <v>348</v>
      </c>
      <c r="I93" s="48">
        <v>3059.1000731437298</v>
      </c>
    </row>
    <row r="94" spans="1:9" ht="17" x14ac:dyDescent="0.2">
      <c r="A94" s="51" t="s">
        <v>101</v>
      </c>
      <c r="B94" s="53" t="s">
        <v>161</v>
      </c>
      <c r="C94" s="53" t="s">
        <v>299</v>
      </c>
      <c r="D94" s="62" t="s">
        <v>464</v>
      </c>
      <c r="E94" s="50" t="s">
        <v>286</v>
      </c>
      <c r="F94" s="2" t="s">
        <v>286</v>
      </c>
      <c r="G94" s="2" t="s">
        <v>259</v>
      </c>
      <c r="H94" s="47" t="s">
        <v>352</v>
      </c>
      <c r="I94" s="48">
        <v>12009.356449340299</v>
      </c>
    </row>
    <row r="95" spans="1:9" ht="17" x14ac:dyDescent="0.2">
      <c r="A95" s="51" t="s">
        <v>102</v>
      </c>
      <c r="B95" s="53" t="s">
        <v>161</v>
      </c>
      <c r="C95" s="53" t="s">
        <v>299</v>
      </c>
      <c r="D95" s="62" t="s">
        <v>464</v>
      </c>
      <c r="E95" s="50" t="s">
        <v>286</v>
      </c>
      <c r="F95" s="2" t="s">
        <v>287</v>
      </c>
      <c r="G95" s="2"/>
      <c r="H95" s="47" t="s">
        <v>382</v>
      </c>
      <c r="I95" s="48">
        <v>2.9345014120116502</v>
      </c>
    </row>
    <row r="96" spans="1:9" ht="17" x14ac:dyDescent="0.2">
      <c r="A96" s="51" t="s">
        <v>103</v>
      </c>
      <c r="B96" s="53" t="s">
        <v>161</v>
      </c>
      <c r="C96" s="53" t="s">
        <v>299</v>
      </c>
      <c r="D96" s="62" t="s">
        <v>464</v>
      </c>
      <c r="E96" s="50" t="s">
        <v>286</v>
      </c>
      <c r="F96" s="2" t="s">
        <v>10</v>
      </c>
      <c r="G96" s="2" t="s">
        <v>260</v>
      </c>
      <c r="H96" s="47" t="s">
        <v>384</v>
      </c>
      <c r="I96" s="48">
        <v>3291.81390900714</v>
      </c>
    </row>
    <row r="97" spans="1:9" ht="17" x14ac:dyDescent="0.2">
      <c r="A97" s="51" t="s">
        <v>104</v>
      </c>
      <c r="B97" s="53" t="s">
        <v>161</v>
      </c>
      <c r="C97" s="53" t="s">
        <v>299</v>
      </c>
      <c r="D97" s="62" t="s">
        <v>464</v>
      </c>
      <c r="E97" s="50" t="s">
        <v>286</v>
      </c>
      <c r="F97" s="2" t="s">
        <v>287</v>
      </c>
      <c r="G97" s="2" t="s">
        <v>261</v>
      </c>
      <c r="H97" s="47" t="s">
        <v>378</v>
      </c>
      <c r="I97" s="48">
        <v>3262.84294023642</v>
      </c>
    </row>
    <row r="98" spans="1:9" ht="17" x14ac:dyDescent="0.2">
      <c r="A98" s="51" t="s">
        <v>105</v>
      </c>
      <c r="B98" s="53" t="s">
        <v>161</v>
      </c>
      <c r="C98" s="53" t="s">
        <v>299</v>
      </c>
      <c r="D98" s="62" t="s">
        <v>464</v>
      </c>
      <c r="E98" s="50" t="s">
        <v>286</v>
      </c>
      <c r="F98" s="2" t="s">
        <v>10</v>
      </c>
      <c r="G98" s="2" t="s">
        <v>262</v>
      </c>
      <c r="H98" s="47" t="s">
        <v>359</v>
      </c>
      <c r="I98" s="48">
        <v>1268.5737859707799</v>
      </c>
    </row>
    <row r="99" spans="1:9" ht="17" x14ac:dyDescent="0.2">
      <c r="A99" s="51" t="s">
        <v>106</v>
      </c>
      <c r="B99" s="53" t="s">
        <v>161</v>
      </c>
      <c r="C99" s="53" t="s">
        <v>299</v>
      </c>
      <c r="D99" s="62" t="s">
        <v>464</v>
      </c>
      <c r="E99" s="50" t="s">
        <v>286</v>
      </c>
      <c r="F99" s="2" t="s">
        <v>10</v>
      </c>
      <c r="G99" s="2" t="s">
        <v>263</v>
      </c>
      <c r="H99" s="47" t="s">
        <v>380</v>
      </c>
      <c r="I99" s="48">
        <v>8923.7124158265196</v>
      </c>
    </row>
    <row r="100" spans="1:9" ht="17" x14ac:dyDescent="0.2">
      <c r="A100" s="51" t="s">
        <v>107</v>
      </c>
      <c r="B100" s="53" t="s">
        <v>161</v>
      </c>
      <c r="C100" s="53" t="s">
        <v>299</v>
      </c>
      <c r="D100" s="62" t="s">
        <v>464</v>
      </c>
      <c r="E100" s="50" t="s">
        <v>286</v>
      </c>
      <c r="F100" s="2" t="s">
        <v>286</v>
      </c>
      <c r="G100" s="2" t="s">
        <v>254</v>
      </c>
      <c r="H100" s="47" t="s">
        <v>365</v>
      </c>
      <c r="I100" s="48">
        <v>11838.558220610599</v>
      </c>
    </row>
    <row r="101" spans="1:9" ht="17" x14ac:dyDescent="0.2">
      <c r="A101" s="51" t="s">
        <v>108</v>
      </c>
      <c r="B101" s="53" t="s">
        <v>161</v>
      </c>
      <c r="C101" s="53" t="s">
        <v>299</v>
      </c>
      <c r="D101" s="62" t="s">
        <v>464</v>
      </c>
      <c r="E101" s="50" t="s">
        <v>286</v>
      </c>
      <c r="F101" s="2" t="s">
        <v>287</v>
      </c>
      <c r="G101" s="2" t="s">
        <v>264</v>
      </c>
      <c r="H101" s="47" t="s">
        <v>383</v>
      </c>
      <c r="I101" s="48">
        <v>2589.5305911749801</v>
      </c>
    </row>
    <row r="102" spans="1:9" ht="17" x14ac:dyDescent="0.2">
      <c r="A102" s="51" t="s">
        <v>109</v>
      </c>
      <c r="B102" s="53" t="s">
        <v>161</v>
      </c>
      <c r="C102" s="53" t="s">
        <v>299</v>
      </c>
      <c r="D102" s="62" t="s">
        <v>465</v>
      </c>
      <c r="E102" s="50" t="s">
        <v>286</v>
      </c>
      <c r="F102" s="2" t="s">
        <v>286</v>
      </c>
      <c r="G102" s="2" t="s">
        <v>284</v>
      </c>
      <c r="H102" s="47" t="s">
        <v>356</v>
      </c>
      <c r="I102" s="48">
        <v>702.88536846407999</v>
      </c>
    </row>
    <row r="103" spans="1:9" ht="17" x14ac:dyDescent="0.2">
      <c r="A103" s="51" t="s">
        <v>110</v>
      </c>
      <c r="B103" s="53" t="s">
        <v>161</v>
      </c>
      <c r="C103" s="53" t="s">
        <v>299</v>
      </c>
      <c r="D103" s="62" t="s">
        <v>464</v>
      </c>
      <c r="E103" s="50" t="s">
        <v>286</v>
      </c>
      <c r="F103" s="2" t="s">
        <v>10</v>
      </c>
      <c r="G103" s="2" t="s">
        <v>255</v>
      </c>
      <c r="H103" s="47" t="s">
        <v>361</v>
      </c>
      <c r="I103" s="48">
        <v>2168.0988336995201</v>
      </c>
    </row>
    <row r="104" spans="1:9" ht="17" x14ac:dyDescent="0.2">
      <c r="A104" s="51" t="s">
        <v>111</v>
      </c>
      <c r="B104" s="53" t="s">
        <v>161</v>
      </c>
      <c r="C104" s="53" t="s">
        <v>299</v>
      </c>
      <c r="D104" s="62" t="s">
        <v>464</v>
      </c>
      <c r="E104" s="50" t="s">
        <v>286</v>
      </c>
      <c r="F104" s="2" t="s">
        <v>10</v>
      </c>
      <c r="G104" s="2" t="s">
        <v>256</v>
      </c>
      <c r="H104" s="47" t="s">
        <v>355</v>
      </c>
      <c r="I104" s="49">
        <v>5739.6455617541396</v>
      </c>
    </row>
    <row r="105" spans="1:9" ht="34" x14ac:dyDescent="0.2">
      <c r="A105" s="51" t="s">
        <v>112</v>
      </c>
      <c r="B105" s="53" t="s">
        <v>161</v>
      </c>
      <c r="C105" s="53" t="s">
        <v>299</v>
      </c>
      <c r="D105" s="62" t="s">
        <v>464</v>
      </c>
      <c r="E105" s="50" t="s">
        <v>286</v>
      </c>
      <c r="F105" s="2" t="s">
        <v>286</v>
      </c>
      <c r="G105" s="2" t="s">
        <v>257</v>
      </c>
      <c r="H105" s="47" t="s">
        <v>387</v>
      </c>
      <c r="I105" s="48">
        <v>3142.70995383948</v>
      </c>
    </row>
    <row r="106" spans="1:9" ht="17" x14ac:dyDescent="0.2">
      <c r="A106" s="51" t="s">
        <v>113</v>
      </c>
      <c r="B106" s="53" t="s">
        <v>161</v>
      </c>
      <c r="C106" s="53" t="s">
        <v>299</v>
      </c>
      <c r="D106" s="62" t="s">
        <v>464</v>
      </c>
      <c r="E106" s="50" t="s">
        <v>286</v>
      </c>
      <c r="F106" s="2" t="s">
        <v>286</v>
      </c>
      <c r="G106" s="2" t="s">
        <v>471</v>
      </c>
      <c r="H106" s="47" t="s">
        <v>374</v>
      </c>
      <c r="I106" s="48">
        <v>26.198768808912501</v>
      </c>
    </row>
    <row r="107" spans="1:9" ht="17" x14ac:dyDescent="0.2">
      <c r="A107" s="51" t="s">
        <v>114</v>
      </c>
      <c r="B107" s="53" t="s">
        <v>161</v>
      </c>
      <c r="C107" s="53" t="s">
        <v>299</v>
      </c>
      <c r="D107" s="62" t="s">
        <v>464</v>
      </c>
      <c r="E107" s="50" t="s">
        <v>287</v>
      </c>
      <c r="F107" s="2" t="s">
        <v>10</v>
      </c>
      <c r="G107" s="2"/>
      <c r="H107" s="47" t="s">
        <v>386</v>
      </c>
      <c r="I107" s="48">
        <v>0.753807860406845</v>
      </c>
    </row>
    <row r="108" spans="1:9" ht="17" x14ac:dyDescent="0.2">
      <c r="A108" s="44" t="s">
        <v>115</v>
      </c>
      <c r="B108" s="45" t="s">
        <v>160</v>
      </c>
      <c r="C108" s="45" t="s">
        <v>457</v>
      </c>
      <c r="D108" s="62" t="s">
        <v>464</v>
      </c>
      <c r="E108" s="50" t="s">
        <v>10</v>
      </c>
      <c r="F108" s="2" t="s">
        <v>10</v>
      </c>
      <c r="G108" s="2"/>
      <c r="H108" s="47" t="s">
        <v>388</v>
      </c>
      <c r="I108" s="2" t="s">
        <v>10</v>
      </c>
    </row>
    <row r="109" spans="1:9" ht="17" x14ac:dyDescent="0.2">
      <c r="A109" s="44" t="s">
        <v>116</v>
      </c>
      <c r="B109" s="45" t="s">
        <v>160</v>
      </c>
      <c r="C109" s="45" t="s">
        <v>457</v>
      </c>
      <c r="D109" s="62" t="s">
        <v>464</v>
      </c>
      <c r="E109" s="50" t="s">
        <v>10</v>
      </c>
      <c r="F109" s="2" t="s">
        <v>10</v>
      </c>
      <c r="G109" s="2"/>
      <c r="H109" s="47" t="s">
        <v>371</v>
      </c>
      <c r="I109" s="2" t="s">
        <v>10</v>
      </c>
    </row>
    <row r="110" spans="1:9" ht="17" x14ac:dyDescent="0.2">
      <c r="A110" s="44" t="s">
        <v>117</v>
      </c>
      <c r="B110" s="45" t="s">
        <v>160</v>
      </c>
      <c r="C110" s="45" t="s">
        <v>456</v>
      </c>
      <c r="D110" s="62" t="s">
        <v>464</v>
      </c>
      <c r="E110" s="50" t="s">
        <v>286</v>
      </c>
      <c r="F110" s="2" t="s">
        <v>10</v>
      </c>
      <c r="G110" s="2" t="s">
        <v>187</v>
      </c>
      <c r="H110" s="47" t="s">
        <v>370</v>
      </c>
      <c r="I110" s="48">
        <v>141.44236311113201</v>
      </c>
    </row>
    <row r="111" spans="1:9" ht="17" x14ac:dyDescent="0.2">
      <c r="A111" s="44" t="s">
        <v>118</v>
      </c>
      <c r="B111" s="45" t="s">
        <v>160</v>
      </c>
      <c r="C111" s="45" t="s">
        <v>461</v>
      </c>
      <c r="D111" s="62" t="s">
        <v>464</v>
      </c>
      <c r="E111" s="50" t="s">
        <v>287</v>
      </c>
      <c r="F111" s="2" t="s">
        <v>10</v>
      </c>
      <c r="G111" s="2"/>
      <c r="H111" s="47" t="s">
        <v>369</v>
      </c>
      <c r="I111" s="48">
        <v>0.825692001112867</v>
      </c>
    </row>
    <row r="112" spans="1:9" ht="17" x14ac:dyDescent="0.2">
      <c r="A112" s="44" t="s">
        <v>119</v>
      </c>
      <c r="B112" s="45" t="s">
        <v>160</v>
      </c>
      <c r="C112" s="45" t="s">
        <v>305</v>
      </c>
      <c r="D112" s="62" t="s">
        <v>464</v>
      </c>
      <c r="E112" s="50" t="s">
        <v>286</v>
      </c>
      <c r="F112" s="2" t="s">
        <v>286</v>
      </c>
      <c r="G112" s="2" t="s">
        <v>189</v>
      </c>
      <c r="H112" s="47" t="s">
        <v>366</v>
      </c>
      <c r="I112" s="48">
        <v>2286.0010395654899</v>
      </c>
    </row>
    <row r="113" spans="1:9" ht="17" x14ac:dyDescent="0.2">
      <c r="A113" s="44" t="s">
        <v>120</v>
      </c>
      <c r="B113" s="45" t="s">
        <v>160</v>
      </c>
      <c r="C113" s="45" t="s">
        <v>300</v>
      </c>
      <c r="D113" s="62" t="s">
        <v>464</v>
      </c>
      <c r="E113" s="50" t="s">
        <v>287</v>
      </c>
      <c r="F113" s="2" t="s">
        <v>287</v>
      </c>
      <c r="G113" s="2"/>
      <c r="H113" s="47" t="s">
        <v>451</v>
      </c>
      <c r="I113" s="2" t="s">
        <v>10</v>
      </c>
    </row>
    <row r="114" spans="1:9" ht="17" x14ac:dyDescent="0.2">
      <c r="A114" s="44" t="s">
        <v>121</v>
      </c>
      <c r="B114" s="45" t="s">
        <v>160</v>
      </c>
      <c r="C114" s="45" t="s">
        <v>300</v>
      </c>
      <c r="D114" s="62" t="s">
        <v>464</v>
      </c>
      <c r="E114" s="50" t="s">
        <v>286</v>
      </c>
      <c r="F114" s="2" t="s">
        <v>286</v>
      </c>
      <c r="G114" s="2" t="s">
        <v>267</v>
      </c>
      <c r="H114" s="47" t="s">
        <v>393</v>
      </c>
      <c r="I114" s="48">
        <v>2417.3300818870998</v>
      </c>
    </row>
    <row r="115" spans="1:9" ht="17" x14ac:dyDescent="0.2">
      <c r="A115" s="44" t="s">
        <v>122</v>
      </c>
      <c r="B115" s="45" t="s">
        <v>160</v>
      </c>
      <c r="C115" s="45" t="s">
        <v>300</v>
      </c>
      <c r="D115" s="62" t="s">
        <v>464</v>
      </c>
      <c r="E115" s="50" t="s">
        <v>10</v>
      </c>
      <c r="F115" s="2" t="s">
        <v>10</v>
      </c>
      <c r="G115" s="2"/>
      <c r="H115" s="47" t="s">
        <v>399</v>
      </c>
      <c r="I115" s="2" t="s">
        <v>10</v>
      </c>
    </row>
    <row r="116" spans="1:9" ht="17" x14ac:dyDescent="0.2">
      <c r="A116" s="44" t="s">
        <v>123</v>
      </c>
      <c r="B116" s="45" t="s">
        <v>160</v>
      </c>
      <c r="C116" s="45" t="s">
        <v>300</v>
      </c>
      <c r="D116" s="62" t="s">
        <v>464</v>
      </c>
      <c r="E116" s="50" t="s">
        <v>286</v>
      </c>
      <c r="F116" s="2" t="s">
        <v>10</v>
      </c>
      <c r="G116" s="2" t="s">
        <v>266</v>
      </c>
      <c r="H116" s="47" t="s">
        <v>440</v>
      </c>
      <c r="I116" s="48">
        <v>665.49532949965101</v>
      </c>
    </row>
    <row r="117" spans="1:9" ht="17" x14ac:dyDescent="0.2">
      <c r="A117" s="44" t="s">
        <v>124</v>
      </c>
      <c r="B117" s="45" t="s">
        <v>160</v>
      </c>
      <c r="C117" s="45" t="s">
        <v>300</v>
      </c>
      <c r="D117" s="62" t="s">
        <v>464</v>
      </c>
      <c r="E117" s="50" t="s">
        <v>286</v>
      </c>
      <c r="F117" s="2" t="s">
        <v>10</v>
      </c>
      <c r="G117" s="2" t="s">
        <v>265</v>
      </c>
      <c r="H117" s="47" t="s">
        <v>436</v>
      </c>
      <c r="I117" s="48">
        <v>178.31876081458199</v>
      </c>
    </row>
    <row r="118" spans="1:9" ht="17" x14ac:dyDescent="0.2">
      <c r="A118" s="44" t="s">
        <v>125</v>
      </c>
      <c r="B118" s="45" t="s">
        <v>160</v>
      </c>
      <c r="C118" s="45" t="s">
        <v>300</v>
      </c>
      <c r="D118" s="62" t="s">
        <v>464</v>
      </c>
      <c r="E118" s="45" t="s">
        <v>287</v>
      </c>
      <c r="F118" s="2" t="s">
        <v>10</v>
      </c>
      <c r="G118" s="2"/>
      <c r="H118" s="47" t="s">
        <v>444</v>
      </c>
      <c r="I118" s="48">
        <v>0.94308918860472801</v>
      </c>
    </row>
    <row r="119" spans="1:9" ht="17" x14ac:dyDescent="0.2">
      <c r="A119" s="44" t="s">
        <v>126</v>
      </c>
      <c r="B119" s="45" t="s">
        <v>160</v>
      </c>
      <c r="C119" s="45" t="s">
        <v>300</v>
      </c>
      <c r="D119" s="62" t="s">
        <v>464</v>
      </c>
      <c r="E119" s="50" t="s">
        <v>10</v>
      </c>
      <c r="F119" s="2" t="s">
        <v>10</v>
      </c>
      <c r="G119" s="2"/>
      <c r="H119" s="47" t="s">
        <v>448</v>
      </c>
      <c r="I119" s="2" t="s">
        <v>10</v>
      </c>
    </row>
    <row r="120" spans="1:9" ht="17" x14ac:dyDescent="0.2">
      <c r="A120" s="51" t="s">
        <v>127</v>
      </c>
      <c r="B120" s="53" t="s">
        <v>162</v>
      </c>
      <c r="C120" s="53" t="s">
        <v>303</v>
      </c>
      <c r="D120" s="62" t="s">
        <v>464</v>
      </c>
      <c r="E120" s="50" t="s">
        <v>286</v>
      </c>
      <c r="F120" s="2" t="s">
        <v>286</v>
      </c>
      <c r="G120" s="2" t="s">
        <v>268</v>
      </c>
      <c r="H120" s="47" t="s">
        <v>446</v>
      </c>
      <c r="I120" s="48">
        <v>11008.0644484021</v>
      </c>
    </row>
    <row r="121" spans="1:9" ht="17" x14ac:dyDescent="0.2">
      <c r="A121" s="51" t="s">
        <v>128</v>
      </c>
      <c r="B121" s="53" t="s">
        <v>162</v>
      </c>
      <c r="C121" s="53" t="s">
        <v>303</v>
      </c>
      <c r="D121" s="62" t="s">
        <v>464</v>
      </c>
      <c r="E121" s="50" t="s">
        <v>10</v>
      </c>
      <c r="F121" s="2" t="s">
        <v>10</v>
      </c>
      <c r="G121" s="2"/>
      <c r="H121" s="47" t="s">
        <v>445</v>
      </c>
      <c r="I121" s="2" t="s">
        <v>10</v>
      </c>
    </row>
    <row r="122" spans="1:9" ht="17" x14ac:dyDescent="0.2">
      <c r="A122" s="44" t="s">
        <v>129</v>
      </c>
      <c r="B122" s="45" t="s">
        <v>160</v>
      </c>
      <c r="C122" s="45" t="s">
        <v>301</v>
      </c>
      <c r="D122" s="62" t="s">
        <v>464</v>
      </c>
      <c r="E122" s="45" t="s">
        <v>287</v>
      </c>
      <c r="F122" s="2" t="s">
        <v>10</v>
      </c>
      <c r="G122" s="2"/>
      <c r="H122" s="47" t="s">
        <v>443</v>
      </c>
      <c r="I122" s="2" t="s">
        <v>10</v>
      </c>
    </row>
    <row r="123" spans="1:9" ht="17" x14ac:dyDescent="0.2">
      <c r="A123" s="44" t="s">
        <v>130</v>
      </c>
      <c r="B123" s="45" t="s">
        <v>160</v>
      </c>
      <c r="C123" s="45" t="s">
        <v>301</v>
      </c>
      <c r="D123" s="62" t="s">
        <v>464</v>
      </c>
      <c r="E123" s="50" t="s">
        <v>286</v>
      </c>
      <c r="F123" s="2" t="s">
        <v>10</v>
      </c>
      <c r="G123" s="2" t="s">
        <v>271</v>
      </c>
      <c r="H123" s="47" t="s">
        <v>447</v>
      </c>
      <c r="I123" s="48">
        <v>1807.4783876583199</v>
      </c>
    </row>
    <row r="124" spans="1:9" ht="17" x14ac:dyDescent="0.2">
      <c r="A124" s="44" t="s">
        <v>131</v>
      </c>
      <c r="B124" s="45" t="s">
        <v>160</v>
      </c>
      <c r="C124" s="45" t="s">
        <v>301</v>
      </c>
      <c r="D124" s="62" t="s">
        <v>464</v>
      </c>
      <c r="E124" s="50" t="s">
        <v>10</v>
      </c>
      <c r="F124" s="2" t="s">
        <v>10</v>
      </c>
      <c r="G124" s="2"/>
      <c r="H124" s="47" t="s">
        <v>306</v>
      </c>
      <c r="I124" s="2" t="s">
        <v>10</v>
      </c>
    </row>
    <row r="125" spans="1:9" ht="17" x14ac:dyDescent="0.2">
      <c r="A125" s="44" t="s">
        <v>132</v>
      </c>
      <c r="B125" s="45" t="s">
        <v>160</v>
      </c>
      <c r="C125" s="45" t="s">
        <v>301</v>
      </c>
      <c r="D125" s="62" t="s">
        <v>464</v>
      </c>
      <c r="E125" s="50" t="s">
        <v>10</v>
      </c>
      <c r="F125" s="2" t="s">
        <v>10</v>
      </c>
      <c r="G125" s="2"/>
      <c r="H125" s="47" t="s">
        <v>330</v>
      </c>
      <c r="I125" s="2" t="s">
        <v>10</v>
      </c>
    </row>
    <row r="126" spans="1:9" ht="17" x14ac:dyDescent="0.2">
      <c r="A126" s="44" t="s">
        <v>133</v>
      </c>
      <c r="B126" s="45" t="s">
        <v>160</v>
      </c>
      <c r="C126" s="45" t="s">
        <v>301</v>
      </c>
      <c r="D126" s="62" t="s">
        <v>464</v>
      </c>
      <c r="E126" s="50" t="s">
        <v>286</v>
      </c>
      <c r="F126" s="2" t="s">
        <v>286</v>
      </c>
      <c r="G126" s="2" t="s">
        <v>272</v>
      </c>
      <c r="H126" s="47" t="s">
        <v>326</v>
      </c>
      <c r="I126" s="48">
        <v>37.684587911423201</v>
      </c>
    </row>
    <row r="127" spans="1:9" ht="17" x14ac:dyDescent="0.2">
      <c r="A127" s="44" t="s">
        <v>134</v>
      </c>
      <c r="B127" s="45" t="s">
        <v>160</v>
      </c>
      <c r="C127" s="45" t="s">
        <v>301</v>
      </c>
      <c r="D127" s="62" t="s">
        <v>464</v>
      </c>
      <c r="E127" s="45" t="s">
        <v>287</v>
      </c>
      <c r="F127" s="2" t="s">
        <v>287</v>
      </c>
      <c r="G127" s="2"/>
      <c r="H127" s="47" t="s">
        <v>346</v>
      </c>
      <c r="I127" s="48">
        <v>3.2334065214899401</v>
      </c>
    </row>
    <row r="128" spans="1:9" ht="17" x14ac:dyDescent="0.2">
      <c r="A128" s="44" t="s">
        <v>135</v>
      </c>
      <c r="B128" s="45" t="s">
        <v>160</v>
      </c>
      <c r="C128" s="45" t="s">
        <v>301</v>
      </c>
      <c r="D128" s="62" t="s">
        <v>464</v>
      </c>
      <c r="E128" s="45" t="s">
        <v>287</v>
      </c>
      <c r="F128" s="2" t="s">
        <v>10</v>
      </c>
      <c r="G128" s="2"/>
      <c r="H128" s="47" t="s">
        <v>329</v>
      </c>
      <c r="I128" s="48">
        <v>18.7711894300908</v>
      </c>
    </row>
    <row r="129" spans="1:9" ht="17" x14ac:dyDescent="0.2">
      <c r="A129" s="44" t="s">
        <v>136</v>
      </c>
      <c r="B129" s="45" t="s">
        <v>160</v>
      </c>
      <c r="C129" s="45" t="s">
        <v>301</v>
      </c>
      <c r="D129" s="62" t="s">
        <v>464</v>
      </c>
      <c r="E129" s="45" t="s">
        <v>287</v>
      </c>
      <c r="F129" s="2" t="s">
        <v>10</v>
      </c>
      <c r="G129" s="2"/>
      <c r="H129" s="47" t="s">
        <v>331</v>
      </c>
      <c r="I129" s="48">
        <v>5.4895739267196699</v>
      </c>
    </row>
    <row r="130" spans="1:9" ht="17" x14ac:dyDescent="0.2">
      <c r="A130" s="44" t="s">
        <v>137</v>
      </c>
      <c r="B130" s="45" t="s">
        <v>160</v>
      </c>
      <c r="C130" s="45" t="s">
        <v>301</v>
      </c>
      <c r="D130" s="62" t="s">
        <v>464</v>
      </c>
      <c r="E130" s="45" t="s">
        <v>287</v>
      </c>
      <c r="F130" s="2" t="s">
        <v>287</v>
      </c>
      <c r="G130" s="2"/>
      <c r="H130" s="47" t="s">
        <v>360</v>
      </c>
      <c r="I130" s="48">
        <v>4.15414947865683</v>
      </c>
    </row>
    <row r="131" spans="1:9" ht="17" x14ac:dyDescent="0.2">
      <c r="A131" s="44" t="s">
        <v>138</v>
      </c>
      <c r="B131" s="45" t="s">
        <v>160</v>
      </c>
      <c r="C131" s="45" t="s">
        <v>301</v>
      </c>
      <c r="D131" s="62" t="s">
        <v>464</v>
      </c>
      <c r="E131" s="45" t="s">
        <v>10</v>
      </c>
      <c r="F131" s="2" t="s">
        <v>10</v>
      </c>
      <c r="G131" s="2"/>
      <c r="H131" s="47" t="s">
        <v>362</v>
      </c>
      <c r="I131" s="2" t="s">
        <v>10</v>
      </c>
    </row>
    <row r="132" spans="1:9" ht="17" x14ac:dyDescent="0.2">
      <c r="A132" s="44" t="s">
        <v>139</v>
      </c>
      <c r="B132" s="45" t="s">
        <v>160</v>
      </c>
      <c r="C132" s="45" t="s">
        <v>301</v>
      </c>
      <c r="D132" s="62" t="s">
        <v>464</v>
      </c>
      <c r="E132" s="45" t="s">
        <v>10</v>
      </c>
      <c r="F132" s="2" t="s">
        <v>10</v>
      </c>
      <c r="G132" s="2"/>
      <c r="H132" s="47" t="s">
        <v>354</v>
      </c>
      <c r="I132" s="2" t="s">
        <v>10</v>
      </c>
    </row>
    <row r="133" spans="1:9" ht="17" x14ac:dyDescent="0.2">
      <c r="A133" s="44" t="s">
        <v>140</v>
      </c>
      <c r="B133" s="45" t="s">
        <v>160</v>
      </c>
      <c r="C133" s="45" t="s">
        <v>301</v>
      </c>
      <c r="D133" s="62" t="s">
        <v>464</v>
      </c>
      <c r="E133" s="50" t="s">
        <v>286</v>
      </c>
      <c r="F133" s="2" t="s">
        <v>10</v>
      </c>
      <c r="G133" s="2" t="s">
        <v>269</v>
      </c>
      <c r="H133" s="47" t="s">
        <v>357</v>
      </c>
      <c r="I133" s="48">
        <v>2310.6523437486198</v>
      </c>
    </row>
    <row r="134" spans="1:9" ht="17" x14ac:dyDescent="0.2">
      <c r="A134" s="44" t="s">
        <v>141</v>
      </c>
      <c r="B134" s="45" t="s">
        <v>160</v>
      </c>
      <c r="C134" s="45" t="s">
        <v>301</v>
      </c>
      <c r="D134" s="62" t="s">
        <v>464</v>
      </c>
      <c r="E134" s="50" t="s">
        <v>286</v>
      </c>
      <c r="F134" s="2" t="s">
        <v>287</v>
      </c>
      <c r="G134" s="2" t="s">
        <v>270</v>
      </c>
      <c r="H134" s="47" t="s">
        <v>363</v>
      </c>
      <c r="I134" s="48">
        <v>1969.55149853632</v>
      </c>
    </row>
    <row r="135" spans="1:9" ht="17" x14ac:dyDescent="0.2">
      <c r="A135" s="51" t="s">
        <v>142</v>
      </c>
      <c r="B135" s="53" t="s">
        <v>163</v>
      </c>
      <c r="C135" s="53" t="s">
        <v>302</v>
      </c>
      <c r="D135" s="62" t="s">
        <v>464</v>
      </c>
      <c r="E135" s="50" t="s">
        <v>287</v>
      </c>
      <c r="F135" s="2" t="s">
        <v>286</v>
      </c>
      <c r="G135" s="2" t="s">
        <v>273</v>
      </c>
      <c r="H135" s="47" t="s">
        <v>379</v>
      </c>
      <c r="I135" s="49">
        <v>52.471146970462399</v>
      </c>
    </row>
    <row r="136" spans="1:9" ht="17" x14ac:dyDescent="0.2">
      <c r="A136" s="51" t="s">
        <v>143</v>
      </c>
      <c r="B136" s="53" t="s">
        <v>163</v>
      </c>
      <c r="C136" s="53" t="s">
        <v>302</v>
      </c>
      <c r="D136" s="62" t="s">
        <v>464</v>
      </c>
      <c r="E136" s="50" t="s">
        <v>286</v>
      </c>
      <c r="F136" s="2" t="s">
        <v>286</v>
      </c>
      <c r="G136" s="2" t="s">
        <v>278</v>
      </c>
      <c r="H136" s="47" t="s">
        <v>364</v>
      </c>
      <c r="I136" s="49">
        <v>475.17022869324802</v>
      </c>
    </row>
    <row r="137" spans="1:9" ht="17" x14ac:dyDescent="0.2">
      <c r="A137" s="51" t="s">
        <v>144</v>
      </c>
      <c r="B137" s="53" t="s">
        <v>163</v>
      </c>
      <c r="C137" s="53" t="s">
        <v>302</v>
      </c>
      <c r="D137" s="62" t="s">
        <v>464</v>
      </c>
      <c r="E137" s="50" t="s">
        <v>287</v>
      </c>
      <c r="F137" s="2" t="s">
        <v>286</v>
      </c>
      <c r="G137" s="2" t="s">
        <v>274</v>
      </c>
      <c r="H137" s="47" t="s">
        <v>358</v>
      </c>
      <c r="I137" s="48">
        <v>52234.448547410902</v>
      </c>
    </row>
    <row r="138" spans="1:9" ht="17" x14ac:dyDescent="0.2">
      <c r="A138" s="51" t="s">
        <v>145</v>
      </c>
      <c r="B138" s="53" t="s">
        <v>163</v>
      </c>
      <c r="C138" s="53" t="s">
        <v>302</v>
      </c>
      <c r="D138" s="62" t="s">
        <v>464</v>
      </c>
      <c r="E138" s="50" t="s">
        <v>286</v>
      </c>
      <c r="F138" s="2" t="s">
        <v>286</v>
      </c>
      <c r="G138" s="2" t="s">
        <v>275</v>
      </c>
      <c r="H138" s="47" t="s">
        <v>376</v>
      </c>
      <c r="I138" s="48">
        <v>10590.8331368583</v>
      </c>
    </row>
    <row r="139" spans="1:9" ht="34" x14ac:dyDescent="0.2">
      <c r="A139" s="51" t="s">
        <v>146</v>
      </c>
      <c r="B139" s="53" t="s">
        <v>163</v>
      </c>
      <c r="C139" s="53" t="s">
        <v>302</v>
      </c>
      <c r="D139" s="62" t="s">
        <v>464</v>
      </c>
      <c r="E139" s="50" t="s">
        <v>286</v>
      </c>
      <c r="F139" s="2" t="s">
        <v>286</v>
      </c>
      <c r="G139" s="2" t="s">
        <v>276</v>
      </c>
      <c r="H139" s="47" t="s">
        <v>372</v>
      </c>
      <c r="I139" s="48">
        <v>1254.2809569183401</v>
      </c>
    </row>
    <row r="140" spans="1:9" ht="17" x14ac:dyDescent="0.2">
      <c r="A140" s="51" t="s">
        <v>147</v>
      </c>
      <c r="B140" s="53" t="s">
        <v>163</v>
      </c>
      <c r="C140" s="53" t="s">
        <v>302</v>
      </c>
      <c r="D140" s="62" t="s">
        <v>464</v>
      </c>
      <c r="E140" s="50" t="s">
        <v>286</v>
      </c>
      <c r="F140" s="2" t="s">
        <v>286</v>
      </c>
      <c r="G140" s="2" t="s">
        <v>469</v>
      </c>
      <c r="H140" s="47" t="s">
        <v>367</v>
      </c>
      <c r="I140" s="48">
        <v>18.4358886901868</v>
      </c>
    </row>
    <row r="141" spans="1:9" ht="17" x14ac:dyDescent="0.2">
      <c r="A141" s="51" t="s">
        <v>148</v>
      </c>
      <c r="B141" s="53" t="s">
        <v>163</v>
      </c>
      <c r="C141" s="53" t="s">
        <v>302</v>
      </c>
      <c r="D141" s="62" t="s">
        <v>464</v>
      </c>
      <c r="E141" s="50" t="s">
        <v>286</v>
      </c>
      <c r="F141" s="2" t="s">
        <v>286</v>
      </c>
      <c r="G141" s="2" t="s">
        <v>277</v>
      </c>
      <c r="H141" s="47" t="s">
        <v>368</v>
      </c>
      <c r="I141" s="49">
        <v>42525.030885981898</v>
      </c>
    </row>
    <row r="142" spans="1:9" ht="17" x14ac:dyDescent="0.2">
      <c r="A142" s="51" t="s">
        <v>149</v>
      </c>
      <c r="B142" s="53" t="s">
        <v>163</v>
      </c>
      <c r="C142" s="53" t="s">
        <v>302</v>
      </c>
      <c r="D142" s="62" t="s">
        <v>464</v>
      </c>
      <c r="E142" s="50" t="s">
        <v>286</v>
      </c>
      <c r="F142" s="2" t="s">
        <v>286</v>
      </c>
      <c r="G142" s="2" t="s">
        <v>280</v>
      </c>
      <c r="H142" s="47" t="s">
        <v>373</v>
      </c>
      <c r="I142" s="48">
        <v>110903.51189532199</v>
      </c>
    </row>
    <row r="143" spans="1:9" ht="17" x14ac:dyDescent="0.2">
      <c r="A143" s="51" t="s">
        <v>150</v>
      </c>
      <c r="B143" s="53" t="s">
        <v>163</v>
      </c>
      <c r="C143" s="53" t="s">
        <v>302</v>
      </c>
      <c r="D143" s="62" t="s">
        <v>464</v>
      </c>
      <c r="E143" s="50" t="s">
        <v>286</v>
      </c>
      <c r="F143" s="2" t="s">
        <v>286</v>
      </c>
      <c r="G143" s="2" t="s">
        <v>281</v>
      </c>
      <c r="H143" s="47" t="s">
        <v>385</v>
      </c>
      <c r="I143" s="48">
        <v>80.305522237306903</v>
      </c>
    </row>
    <row r="144" spans="1:9" ht="17" x14ac:dyDescent="0.2">
      <c r="A144" s="51" t="s">
        <v>151</v>
      </c>
      <c r="B144" s="53" t="s">
        <v>163</v>
      </c>
      <c r="C144" s="53" t="s">
        <v>302</v>
      </c>
      <c r="D144" s="62" t="s">
        <v>464</v>
      </c>
      <c r="E144" s="50" t="s">
        <v>286</v>
      </c>
      <c r="F144" s="2" t="s">
        <v>286</v>
      </c>
      <c r="G144" s="2" t="s">
        <v>282</v>
      </c>
      <c r="H144" s="47" t="s">
        <v>375</v>
      </c>
      <c r="I144" s="48">
        <v>84.194360035667501</v>
      </c>
    </row>
    <row r="145" spans="1:9" ht="17" x14ac:dyDescent="0.2">
      <c r="A145" s="51" t="s">
        <v>152</v>
      </c>
      <c r="B145" s="53" t="s">
        <v>163</v>
      </c>
      <c r="C145" s="53" t="s">
        <v>302</v>
      </c>
      <c r="D145" s="62" t="s">
        <v>464</v>
      </c>
      <c r="E145" s="50" t="s">
        <v>287</v>
      </c>
      <c r="F145" s="2" t="s">
        <v>287</v>
      </c>
      <c r="G145" s="2" t="s">
        <v>283</v>
      </c>
      <c r="H145" s="47" t="s">
        <v>395</v>
      </c>
      <c r="I145" s="48">
        <v>58329.871307614601</v>
      </c>
    </row>
    <row r="146" spans="1:9" ht="17" x14ac:dyDescent="0.2">
      <c r="A146" s="51" t="s">
        <v>153</v>
      </c>
      <c r="B146" s="53" t="s">
        <v>163</v>
      </c>
      <c r="C146" s="53" t="s">
        <v>302</v>
      </c>
      <c r="D146" s="62" t="s">
        <v>464</v>
      </c>
      <c r="E146" s="50" t="s">
        <v>286</v>
      </c>
      <c r="F146" s="2" t="s">
        <v>286</v>
      </c>
      <c r="G146" s="2" t="s">
        <v>470</v>
      </c>
      <c r="H146" s="47" t="s">
        <v>391</v>
      </c>
      <c r="I146" s="48">
        <v>899.04928444147697</v>
      </c>
    </row>
    <row r="147" spans="1:9" ht="17" x14ac:dyDescent="0.2">
      <c r="A147" s="51" t="s">
        <v>154</v>
      </c>
      <c r="B147" s="53" t="s">
        <v>163</v>
      </c>
      <c r="C147" s="53" t="s">
        <v>302</v>
      </c>
      <c r="D147" s="62" t="s">
        <v>464</v>
      </c>
      <c r="E147" s="50" t="s">
        <v>286</v>
      </c>
      <c r="F147" s="2" t="s">
        <v>286</v>
      </c>
      <c r="G147" s="2" t="s">
        <v>279</v>
      </c>
      <c r="H147" s="47" t="s">
        <v>394</v>
      </c>
      <c r="I147" s="48">
        <v>43.383302519946099</v>
      </c>
    </row>
    <row r="148" spans="1:9" ht="17" x14ac:dyDescent="0.2">
      <c r="A148" s="44" t="s">
        <v>155</v>
      </c>
      <c r="B148" s="45" t="s">
        <v>160</v>
      </c>
      <c r="C148" s="45" t="s">
        <v>457</v>
      </c>
      <c r="D148" s="62" t="s">
        <v>464</v>
      </c>
      <c r="E148" s="50" t="s">
        <v>287</v>
      </c>
      <c r="F148" s="2" t="s">
        <v>287</v>
      </c>
      <c r="G148" s="2"/>
      <c r="H148" s="47" t="s">
        <v>390</v>
      </c>
      <c r="I148" s="49">
        <v>0.28514224149631701</v>
      </c>
    </row>
    <row r="149" spans="1:9" ht="17" x14ac:dyDescent="0.2">
      <c r="A149" s="44" t="s">
        <v>156</v>
      </c>
      <c r="B149" s="45" t="s">
        <v>160</v>
      </c>
      <c r="C149" s="45" t="s">
        <v>456</v>
      </c>
      <c r="D149" s="62" t="s">
        <v>464</v>
      </c>
      <c r="E149" s="50" t="s">
        <v>286</v>
      </c>
      <c r="F149" s="2" t="s">
        <v>10</v>
      </c>
      <c r="G149" s="2" t="s">
        <v>188</v>
      </c>
      <c r="H149" s="47" t="s">
        <v>396</v>
      </c>
      <c r="I149" s="48">
        <v>230.64079147299</v>
      </c>
    </row>
    <row r="150" spans="1:9" ht="17" x14ac:dyDescent="0.2">
      <c r="A150" s="37" t="s">
        <v>157</v>
      </c>
      <c r="B150" s="38" t="s">
        <v>160</v>
      </c>
      <c r="C150" s="40" t="s">
        <v>456</v>
      </c>
      <c r="D150" s="62" t="s">
        <v>464</v>
      </c>
      <c r="E150" s="39" t="s">
        <v>10</v>
      </c>
      <c r="F150" s="15" t="s">
        <v>10</v>
      </c>
      <c r="H150" s="20" t="s">
        <v>392</v>
      </c>
      <c r="I150" s="16" t="s">
        <v>10</v>
      </c>
    </row>
    <row r="151" spans="1:9" x14ac:dyDescent="0.2">
      <c r="A151" s="61" t="s">
        <v>463</v>
      </c>
      <c r="B151" s="58"/>
      <c r="C151" s="7"/>
      <c r="D151" s="19"/>
      <c r="E151" s="59"/>
      <c r="F151" s="15"/>
      <c r="H151" s="20"/>
      <c r="I151" s="60"/>
    </row>
    <row r="152" spans="1:9" x14ac:dyDescent="0.2">
      <c r="A152" s="61" t="s">
        <v>466</v>
      </c>
      <c r="B152" s="58"/>
      <c r="C152" s="7"/>
      <c r="D152" s="19"/>
      <c r="E152" s="59"/>
      <c r="F152" s="15"/>
      <c r="H152" s="20"/>
      <c r="I152" s="60"/>
    </row>
    <row r="153" spans="1:9" x14ac:dyDescent="0.2">
      <c r="A153" s="55" t="s">
        <v>467</v>
      </c>
      <c r="B153" s="56"/>
      <c r="C153" s="15"/>
      <c r="D153" s="15"/>
      <c r="E153" s="57"/>
      <c r="F153" s="15"/>
      <c r="H153" s="54"/>
      <c r="I153" s="5"/>
    </row>
  </sheetData>
  <sortState xmlns:xlrd2="http://schemas.microsoft.com/office/spreadsheetml/2017/richdata2" ref="A2:E153">
    <sortCondition ref="B1:B153"/>
  </sortState>
  <hyperlinks>
    <hyperlink ref="H124" r:id="rId1" display="https://dataview.ncbi.nlm.nih.gov/object/SRR30712328" xr:uid="{71486AD6-B6F7-F54B-BC7E-AE21285E35F1}"/>
    <hyperlink ref="H30" r:id="rId2" display="https://dataview.ncbi.nlm.nih.gov/object/SRR30712319" xr:uid="{6F3AAD64-92C1-C549-87B0-B64B3B1162F8}"/>
    <hyperlink ref="H24" r:id="rId3" display="https://dataview.ncbi.nlm.nih.gov/object/SRR30712325" xr:uid="{B4615321-1B26-8B46-B9E6-990B71CD956C}"/>
    <hyperlink ref="H32" r:id="rId4" display="https://dataview.ncbi.nlm.nih.gov/object/SRR30712316" xr:uid="{8FC6DD1A-6BD7-9C46-8039-3985F1AF9A77}"/>
    <hyperlink ref="H29" r:id="rId5" display="https://dataview.ncbi.nlm.nih.gov/object/SRR30712320" xr:uid="{5AC4D480-E137-7C49-90BB-0B947716B7F5}"/>
    <hyperlink ref="H26" r:id="rId6" display="https://dataview.ncbi.nlm.nih.gov/object/SRR30712323" xr:uid="{80E8B852-28C6-F445-AE7F-41AD23CC406E}"/>
    <hyperlink ref="H23" r:id="rId7" display="https://dataview.ncbi.nlm.nih.gov/object/SRR30712326" xr:uid="{CD773A68-A691-144E-8AE0-315175F0CEF6}"/>
    <hyperlink ref="H5" r:id="rId8" display="https://dataview.ncbi.nlm.nih.gov/object/SRR30712317" xr:uid="{7CA75721-2081-2F4E-9708-B312A84A4A44}"/>
    <hyperlink ref="H28" r:id="rId9" display="https://dataview.ncbi.nlm.nih.gov/object/SRR30712321" xr:uid="{61B8ED1E-3B4F-EC48-8470-B492F33F7F63}"/>
    <hyperlink ref="H31" r:id="rId10" display="https://dataview.ncbi.nlm.nih.gov/object/SRR30712318" xr:uid="{96F8A61F-905D-DD44-A4D0-4707D1F35229}"/>
    <hyperlink ref="H22" r:id="rId11" display="https://dataview.ncbi.nlm.nih.gov/object/SRR30712327" xr:uid="{F38841FC-6BCE-B842-A254-94738283B8AF}"/>
    <hyperlink ref="H25" r:id="rId12" display="https://dataview.ncbi.nlm.nih.gov/object/SRR30712324" xr:uid="{8E6D0A18-A515-F44E-ABF1-194C2EB1157E}"/>
    <hyperlink ref="H2" r:id="rId13" display="https://dataview.ncbi.nlm.nih.gov/object/SRR30712331" xr:uid="{4EFEEC98-EA02-864B-896A-87F5E3709570}"/>
    <hyperlink ref="H27" r:id="rId14" display="https://dataview.ncbi.nlm.nih.gov/object/SRR30712322" xr:uid="{C409DEAD-1C94-634C-97ED-0CE701E55BCF}"/>
    <hyperlink ref="H12" r:id="rId15" display="https://dataview.ncbi.nlm.nih.gov/object/SRR30712329" xr:uid="{CB19BCA6-210F-3543-9485-24C55B2665D7}"/>
    <hyperlink ref="H3" r:id="rId16" display="https://dataview.ncbi.nlm.nih.gov/object/SRR30712330" xr:uid="{B155AB0E-8764-254C-9E2B-CFFDDABFB345}"/>
    <hyperlink ref="H40" r:id="rId17" display="https://dataview.ncbi.nlm.nih.gov/object/SRR30712308" xr:uid="{5DA80450-3188-C84E-9682-064199042BCE}"/>
    <hyperlink ref="H34" r:id="rId18" display="https://dataview.ncbi.nlm.nih.gov/object/SRR30712314" xr:uid="{43DE778C-6F4C-7D46-8C38-1A2C8D81037A}"/>
    <hyperlink ref="H48" r:id="rId19" display="https://dataview.ncbi.nlm.nih.gov/object/SRR30712299" xr:uid="{F22F79CD-1067-394B-A61F-70447CB8E1FC}"/>
    <hyperlink ref="H33" r:id="rId20" display="https://dataview.ncbi.nlm.nih.gov/object/SRR30712315" xr:uid="{00246AE4-3397-064B-8459-00BC69304ECD}"/>
    <hyperlink ref="H90" r:id="rId21" display="https://dataview.ncbi.nlm.nih.gov/object/SRR30712289" xr:uid="{7433C0F3-D20C-7F47-B90E-2C1EC4DA1348}"/>
    <hyperlink ref="H126" r:id="rId22" display="https://dataview.ncbi.nlm.nih.gov/object/SRR30712295" xr:uid="{737EED38-9399-7849-BBBC-5AC7FA3C722C}"/>
    <hyperlink ref="H88" r:id="rId23" display="https://dataview.ncbi.nlm.nih.gov/object/SRR30712291" xr:uid="{A7529131-72ED-684F-8478-D1462CF00C47}"/>
    <hyperlink ref="H128" r:id="rId24" display="https://dataview.ncbi.nlm.nih.gov/object/SRR30712293" xr:uid="{C7098344-D3EB-3B47-9BE4-CD178DBD3216}"/>
    <hyperlink ref="H125" r:id="rId25" display="https://dataview.ncbi.nlm.nih.gov/object/SRR30712296" xr:uid="{E9B09CB7-5A69-9C45-AFD9-2D09993CB5B1}"/>
    <hyperlink ref="H129" r:id="rId26" display="https://dataview.ncbi.nlm.nih.gov/object/SRR30712292" xr:uid="{FABF3C50-829D-6746-8423-B139144F7F44}"/>
    <hyperlink ref="H89" r:id="rId27" display="https://dataview.ncbi.nlm.nih.gov/object/SRR30712290" xr:uid="{843C7323-0249-5E40-AC14-FFC3C5A80C37}"/>
    <hyperlink ref="H35" r:id="rId28" display="https://dataview.ncbi.nlm.nih.gov/object/SRR30712313" xr:uid="{B6607A41-FBCA-3449-9F99-5FDB8344E7FA}"/>
    <hyperlink ref="H42" r:id="rId29" display="https://dataview.ncbi.nlm.nih.gov/object/SRR30712305" xr:uid="{866FC203-CCEB-174F-BC8F-F7718BEAA8D0}"/>
    <hyperlink ref="H36" r:id="rId30" display="https://dataview.ncbi.nlm.nih.gov/object/SRR30712312" xr:uid="{4461388F-C731-4148-9BCC-81B64C56C3B8}"/>
    <hyperlink ref="H46" r:id="rId31" display="https://dataview.ncbi.nlm.nih.gov/object/SRR30712301" xr:uid="{46397348-B317-EB46-BFE6-16DDC5B060B1}"/>
    <hyperlink ref="H45" r:id="rId32" display="https://dataview.ncbi.nlm.nih.gov/object/SRR30712302" xr:uid="{A9BF9EF2-FE12-ED45-9FBF-ED21D02D37EC}"/>
    <hyperlink ref="H44" r:id="rId33" display="https://dataview.ncbi.nlm.nih.gov/object/SRR30712303" xr:uid="{2DEBEC22-F7FC-2C40-8BA1-D8FC954506FF}"/>
    <hyperlink ref="H41" r:id="rId34" display="https://dataview.ncbi.nlm.nih.gov/object/SRR30712307" xr:uid="{2BE80472-3EC9-9042-8CAD-5BCFD1805573}"/>
    <hyperlink ref="H6" r:id="rId35" display="https://dataview.ncbi.nlm.nih.gov/object/SRR30712306" xr:uid="{54751BF7-3501-E045-A1E6-BBE125B1E579}"/>
    <hyperlink ref="H43" r:id="rId36" display="https://dataview.ncbi.nlm.nih.gov/object/SRR30712304" xr:uid="{97E96B59-817F-F747-919E-A74C0F446677}"/>
    <hyperlink ref="H37" r:id="rId37" display="https://dataview.ncbi.nlm.nih.gov/object/SRR30712311" xr:uid="{64A943C5-1D3E-714B-B7D9-4CF20AB06D4D}"/>
    <hyperlink ref="H38" r:id="rId38" display="https://dataview.ncbi.nlm.nih.gov/object/SRR30712310" xr:uid="{1507E0E2-D6C2-D94D-9F69-30F535167177}"/>
    <hyperlink ref="H47" r:id="rId39" display="https://dataview.ncbi.nlm.nih.gov/object/SRR30712300" xr:uid="{D5C9E3AF-D1B2-9C4B-94AD-6E66813C135A}"/>
    <hyperlink ref="H39" r:id="rId40" display="https://dataview.ncbi.nlm.nih.gov/object/SRR30712309" xr:uid="{F26E62F3-14ED-8746-8130-855866EB0763}"/>
    <hyperlink ref="H127" r:id="rId41" display="https://dataview.ncbi.nlm.nih.gov/object/SRR30712294" xr:uid="{DDE3C256-9E82-1947-8D07-52D3F75DDBBE}"/>
    <hyperlink ref="H49" r:id="rId42" display="https://dataview.ncbi.nlm.nih.gov/object/SRR30712298" xr:uid="{222331D0-1922-B84D-84EC-606FF4C2AD0C}"/>
    <hyperlink ref="H93" r:id="rId43" display="https://dataview.ncbi.nlm.nih.gov/object/SRR30712285" xr:uid="{D7C29E81-50BB-894C-B3E4-A3EF3BF1CA43}"/>
    <hyperlink ref="H50" r:id="rId44" display="https://dataview.ncbi.nlm.nih.gov/object/SRR30712297" xr:uid="{DE6FFBAA-FEB1-F541-BC18-848A14C9B42B}"/>
    <hyperlink ref="H91" r:id="rId45" display="https://dataview.ncbi.nlm.nih.gov/object/SRR30712288" xr:uid="{E96B8DDD-56A9-C544-9326-B47D0D4BD0EB}"/>
    <hyperlink ref="H13" r:id="rId46" display="https://dataview.ncbi.nlm.nih.gov/object/SRR30712287" xr:uid="{02EC4511-1880-C242-AF3B-B844D20293EB}"/>
    <hyperlink ref="H94" r:id="rId47" display="https://dataview.ncbi.nlm.nih.gov/object/SRR30712284" xr:uid="{CBF6BFBC-E6E9-9C4D-9288-9EFD93E9B240}"/>
    <hyperlink ref="H92" r:id="rId48" display="https://dataview.ncbi.nlm.nih.gov/object/SRR30712286" xr:uid="{D9EFBEA8-D09A-F241-BF1F-3A0BBD504038}"/>
    <hyperlink ref="H132" r:id="rId49" display="https://dataview.ncbi.nlm.nih.gov/object/SRR30712275" xr:uid="{2ACFCE27-680D-CF40-BC63-1C7F54DAF65E}"/>
    <hyperlink ref="H104" r:id="rId50" display="https://dataview.ncbi.nlm.nih.gov/object/SRR30712264" xr:uid="{998BA9A0-094D-124A-923E-2D2906EBB175}"/>
    <hyperlink ref="H102" r:id="rId51" display="https://dataview.ncbi.nlm.nih.gov/object/SRR30712267" xr:uid="{267DCCBD-8673-C848-84FF-597B06EF5E50}"/>
    <hyperlink ref="H133" r:id="rId52" display="https://dataview.ncbi.nlm.nih.gov/object/SRR30712274" xr:uid="{5D3D5771-8003-8F45-BB70-937ACB192D13}"/>
    <hyperlink ref="H137" r:id="rId53" display="https://dataview.ncbi.nlm.nih.gov/object/SRR30712270" xr:uid="{57856109-45D3-884D-BBCB-4F76857AF32B}"/>
    <hyperlink ref="H98" r:id="rId54" display="https://dataview.ncbi.nlm.nih.gov/object/SRR30712280" xr:uid="{6DDF4223-5EC6-B74E-82CD-2D6079B86932}"/>
    <hyperlink ref="H130" r:id="rId55" display="https://dataview.ncbi.nlm.nih.gov/object/SRR30712278" xr:uid="{384F1B30-054A-754F-9B9D-BB2C56337A29}"/>
    <hyperlink ref="H103" r:id="rId56" display="https://dataview.ncbi.nlm.nih.gov/object/SRR30712266" xr:uid="{4E2C430F-5AF1-0644-AF2E-E5E5235B82BD}"/>
    <hyperlink ref="H131" r:id="rId57" display="https://dataview.ncbi.nlm.nih.gov/object/SRR30712277" xr:uid="{A4CF9E18-34A0-F245-A455-A1902EF07BFE}"/>
    <hyperlink ref="H134" r:id="rId58" display="https://dataview.ncbi.nlm.nih.gov/object/SRR30712273" xr:uid="{ECC44E1D-41D9-FD48-AD7B-0A4B10F346C5}"/>
    <hyperlink ref="H136" r:id="rId59" display="https://dataview.ncbi.nlm.nih.gov/object/SRR30712271" xr:uid="{E10A1C9A-C05A-9F49-BF88-53DC77201A20}"/>
    <hyperlink ref="H100" r:id="rId60" display="https://dataview.ncbi.nlm.nih.gov/object/SRR30712269" xr:uid="{BF5E1068-65DC-B548-ACF9-3C64D8472B62}"/>
    <hyperlink ref="H112" r:id="rId61" display="https://dataview.ncbi.nlm.nih.gov/object/SRR30712256" xr:uid="{84162513-C8ED-5546-A0D5-0616003F66E8}"/>
    <hyperlink ref="H140" r:id="rId62" display="https://dataview.ncbi.nlm.nih.gov/object/SRR30712252" xr:uid="{237E13F2-43FE-0A4E-A6B3-853FD2D3F8FC}"/>
    <hyperlink ref="H141" r:id="rId63" display="https://dataview.ncbi.nlm.nih.gov/object/SRR30712251" xr:uid="{908BFB95-C877-CF46-BE5A-D1CC728284FE}"/>
    <hyperlink ref="H111" r:id="rId64" display="https://dataview.ncbi.nlm.nih.gov/object/SRR30712257" xr:uid="{57FEBD65-7EA4-B949-9F94-4842DAE06DC7}"/>
    <hyperlink ref="H110" r:id="rId65" display="https://dataview.ncbi.nlm.nih.gov/object/SRR30712258" xr:uid="{3F499545-5779-C849-A314-0BF1B36322B8}"/>
    <hyperlink ref="H109" r:id="rId66" display="https://dataview.ncbi.nlm.nih.gov/object/SRR30712259" xr:uid="{76360B20-75D3-2C49-935A-9D50F20AE145}"/>
    <hyperlink ref="H139" r:id="rId67" display="https://dataview.ncbi.nlm.nih.gov/object/SRR30712253" xr:uid="{298AB599-757C-EB48-B063-BD56DB9501CF}"/>
    <hyperlink ref="H142" r:id="rId68" display="https://dataview.ncbi.nlm.nih.gov/object/SRR30712250" xr:uid="{C68FB0DE-F433-E04E-AFBB-2A65833387BB}"/>
    <hyperlink ref="H106" r:id="rId69" display="https://dataview.ncbi.nlm.nih.gov/object/SRR30712262" xr:uid="{630E1D60-1D5E-CF42-A599-88715902E558}"/>
    <hyperlink ref="H144" r:id="rId70" display="https://dataview.ncbi.nlm.nih.gov/object/SRR30712248" xr:uid="{62020A7D-2BE1-8149-B28E-9D57A5CB2089}"/>
    <hyperlink ref="H138" r:id="rId71" display="https://dataview.ncbi.nlm.nih.gov/object/SRR30712255" xr:uid="{EDDD467C-087B-A042-9E8B-1B7F8D6DB9D6}"/>
    <hyperlink ref="H16" r:id="rId72" display="https://dataview.ncbi.nlm.nih.gov/object/SRR30712254" xr:uid="{70E48B81-8E20-2D47-8F90-5078F9512FB2}"/>
    <hyperlink ref="H97" r:id="rId73" display="https://dataview.ncbi.nlm.nih.gov/object/SRR30712281" xr:uid="{77E98FAA-88DD-BA4C-9A12-0F27755D20FF}"/>
    <hyperlink ref="H135" r:id="rId74" display="https://dataview.ncbi.nlm.nih.gov/object/SRR30712272" xr:uid="{E11BC88C-3F1C-BC4B-867C-528A72DA3979}"/>
    <hyperlink ref="H99" r:id="rId75" display="https://dataview.ncbi.nlm.nih.gov/object/SRR30712279" xr:uid="{7D6D6B55-490A-F543-967E-4F4625AB8EB7}"/>
    <hyperlink ref="H15" r:id="rId76" display="https://dataview.ncbi.nlm.nih.gov/object/SRR30712265" xr:uid="{D9BB8C94-F4D2-FE4B-A8A8-94A432834716}"/>
    <hyperlink ref="H95" r:id="rId77" display="https://dataview.ncbi.nlm.nih.gov/object/SRR30712283" xr:uid="{CAB904CC-0F3B-3541-AF4A-AFB3F04E4E0F}"/>
    <hyperlink ref="H101" r:id="rId78" display="https://dataview.ncbi.nlm.nih.gov/object/SRR30712268" xr:uid="{F10ED94C-AC30-B14C-AC23-6FCC8F96A199}"/>
    <hyperlink ref="H96" r:id="rId79" display="https://dataview.ncbi.nlm.nih.gov/object/SRR30712282" xr:uid="{AF943C76-6A57-DB48-85E6-CBD16A3D8001}"/>
    <hyperlink ref="H14" r:id="rId80" display="https://dataview.ncbi.nlm.nih.gov/object/SRR30712276" xr:uid="{C3E34CCA-9745-B944-AFDE-D262DDA30F72}"/>
    <hyperlink ref="H143" r:id="rId81" display="https://dataview.ncbi.nlm.nih.gov/object/SRR30712276" xr:uid="{68526C61-5CC5-1643-A5F4-023BBA9EA622}"/>
    <hyperlink ref="H107" r:id="rId82" display="https://dataview.ncbi.nlm.nih.gov/object/SRR30712261" xr:uid="{23F2C0EB-150F-D74A-B908-6FDD1ECEAA7B}"/>
    <hyperlink ref="H105" r:id="rId83" display="https://dataview.ncbi.nlm.nih.gov/object/SRR30712263" xr:uid="{2F1CB214-F896-7B46-9735-E30D3F2AF564}"/>
    <hyperlink ref="H108" r:id="rId84" display="https://dataview.ncbi.nlm.nih.gov/object/SRR30712260" xr:uid="{16944ECF-E7F2-BC48-ABAF-9874D5003EE7}"/>
    <hyperlink ref="H18" r:id="rId85" display="https://dataview.ncbi.nlm.nih.gov/object/SRR30712237" xr:uid="{6BBC392C-D266-C742-B886-C4A29D9E79AF}"/>
    <hyperlink ref="H148" r:id="rId86" display="https://dataview.ncbi.nlm.nih.gov/object/SRR30712244" xr:uid="{49C791CF-179E-ED46-BA9C-A75E1592186C}"/>
    <hyperlink ref="H146" r:id="rId87" display="https://dataview.ncbi.nlm.nih.gov/object/SRR30712246" xr:uid="{74D03C3E-4B05-7E49-A37B-A2AE73E2E590}"/>
    <hyperlink ref="H150" r:id="rId88" display="https://dataview.ncbi.nlm.nih.gov/object/SRR30712241" xr:uid="{8BB102FA-4463-104F-A7DC-D00541317F5F}"/>
    <hyperlink ref="H114" r:id="rId89" display="https://dataview.ncbi.nlm.nih.gov/object/SRR30712239" xr:uid="{9E89953B-7B20-3147-B57B-5AE23431008F}"/>
    <hyperlink ref="H147" r:id="rId90" display="https://dataview.ncbi.nlm.nih.gov/object/SRR30712245" xr:uid="{335C0F21-B30C-0140-A509-988B90F7FD89}"/>
    <hyperlink ref="H145" r:id="rId91" display="https://dataview.ncbi.nlm.nih.gov/object/SRR30712247" xr:uid="{C01D22C9-E31A-0149-A8A4-EA82D1766357}"/>
    <hyperlink ref="H149" r:id="rId92" display="https://dataview.ncbi.nlm.nih.gov/object/SRR30712242" xr:uid="{B6469586-C199-B444-98AB-8B55DD81E793}"/>
    <hyperlink ref="H21" r:id="rId93" display="https://dataview.ncbi.nlm.nih.gov/object/SRR30712234" xr:uid="{E2DCCC3B-3EA1-714B-99A0-400433876F9C}"/>
    <hyperlink ref="H51" r:id="rId94" display="https://dataview.ncbi.nlm.nih.gov/object/SRR30712233" xr:uid="{EAE3E206-B39F-0345-8A57-463628680FEB}"/>
    <hyperlink ref="H115" r:id="rId95" display="https://dataview.ncbi.nlm.nih.gov/object/SRR30712238" xr:uid="{1BE1E081-C845-4C4C-9852-77B43C5657FE}"/>
    <hyperlink ref="H20" r:id="rId96" display="https://dataview.ncbi.nlm.nih.gov/object/SRR30712235" xr:uid="{4310A674-3672-8343-84E5-8BF42907F73C}"/>
    <hyperlink ref="H17" r:id="rId97" display="https://dataview.ncbi.nlm.nih.gov/object/SRR30712243" xr:uid="{958780E9-92B7-1B4F-B2C8-6C304AE7F619}"/>
    <hyperlink ref="H19" r:id="rId98" display="https://dataview.ncbi.nlm.nih.gov/object/SRR30712243" xr:uid="{5784D0DF-9015-9A4A-B1F0-244F4154F121}"/>
    <hyperlink ref="H62" r:id="rId99" display="https://dataview.ncbi.nlm.nih.gov/object/SRR30712219" xr:uid="{E9194272-AEB6-8441-98C0-43E5853EE532}"/>
    <hyperlink ref="H72" r:id="rId100" display="https://dataview.ncbi.nlm.nih.gov/object/SRR30712208" xr:uid="{31D32FD6-14D7-6B42-BC3A-7B984AA5AFF1}"/>
    <hyperlink ref="H67" r:id="rId101" display="https://dataview.ncbi.nlm.nih.gov/object/SRR30712214" xr:uid="{4F5F5272-1E47-1442-A967-D2169B38E94A}"/>
    <hyperlink ref="H70" r:id="rId102" display="https://dataview.ncbi.nlm.nih.gov/object/SRR30712214" xr:uid="{1A00E07B-4F45-A24B-B121-430167729412}"/>
    <hyperlink ref="H74" r:id="rId103" display="https://dataview.ncbi.nlm.nih.gov/object/SRR30712206" xr:uid="{5953D49B-1BFE-2F4F-8564-1A29215B07AD}"/>
    <hyperlink ref="H75" r:id="rId104" display="https://dataview.ncbi.nlm.nih.gov/object/SRR30712205" xr:uid="{204F5685-DD47-F14A-B920-EC7C415FD756}"/>
    <hyperlink ref="H56" r:id="rId105" display="https://dataview.ncbi.nlm.nih.gov/object/SRR30712226" xr:uid="{FB812E3A-6520-5A44-9DDC-A69C0AA1F3A0}"/>
    <hyperlink ref="H61" r:id="rId106" display="https://dataview.ncbi.nlm.nih.gov/object/SRR30712221" xr:uid="{F7213F77-3A57-534E-9D66-FC5B48FAED36}"/>
    <hyperlink ref="H58" r:id="rId107" display="https://dataview.ncbi.nlm.nih.gov/object/SRR30712224" xr:uid="{D32DFB37-467F-1C44-B850-3568EFD73DC6}"/>
    <hyperlink ref="H52" r:id="rId108" display="https://dataview.ncbi.nlm.nih.gov/object/SRR30712230" xr:uid="{FD54AB45-2B39-D249-AB2F-5BB3097DC187}"/>
    <hyperlink ref="H59" r:id="rId109" display="https://dataview.ncbi.nlm.nih.gov/object/SRR30712223" xr:uid="{387D1FF5-9695-6E45-9EBB-EF63EA9A09CF}"/>
    <hyperlink ref="H7" r:id="rId110" display="https://dataview.ncbi.nlm.nih.gov/object/SRR30712231" xr:uid="{D201B956-8032-0D40-80ED-F150299B14CC}"/>
    <hyperlink ref="H64" r:id="rId111" display="https://dataview.ncbi.nlm.nih.gov/object/SRR30712217" xr:uid="{25023314-C894-5F46-B759-27237CA0BFE7}"/>
    <hyperlink ref="H8" r:id="rId112" display="https://dataview.ncbi.nlm.nih.gov/object/SRR30712220" xr:uid="{3B7D7599-6BA1-6046-8BF6-0637770CC984}"/>
    <hyperlink ref="H57" r:id="rId113" display="https://dataview.ncbi.nlm.nih.gov/object/SRR30712225" xr:uid="{6035E9AE-A821-4E4B-962D-5583C63F4F31}"/>
    <hyperlink ref="H63" r:id="rId114" display="https://dataview.ncbi.nlm.nih.gov/object/SRR30712218" xr:uid="{76CB6F61-CF13-AD48-83C0-85A772F54AED}"/>
    <hyperlink ref="H55" r:id="rId115" display="https://dataview.ncbi.nlm.nih.gov/object/SRR30712227" xr:uid="{483D9B62-716C-F242-9F89-C0FA04DD509C}"/>
    <hyperlink ref="H54" r:id="rId116" display="https://dataview.ncbi.nlm.nih.gov/object/SRR30712228" xr:uid="{28B78C7A-E232-E04C-B1EA-CAABD1E6FF5C}"/>
    <hyperlink ref="H53" r:id="rId117" display="https://dataview.ncbi.nlm.nih.gov/object/SRR30712229" xr:uid="{72EB945F-E0DC-0D4F-A574-CE3E353A5A04}"/>
    <hyperlink ref="H4" r:id="rId118" display="https://dataview.ncbi.nlm.nih.gov/object/SRR30712232" xr:uid="{28EF384C-B8D9-4A45-A4F9-D4111821E2DF}"/>
    <hyperlink ref="H60" r:id="rId119" display="https://dataview.ncbi.nlm.nih.gov/object/SRR30712222" xr:uid="{B8AD5267-78B6-0A42-8548-48CBDD575C8F}"/>
    <hyperlink ref="H9" r:id="rId120" display="https://dataview.ncbi.nlm.nih.gov/object/SRR30712209" xr:uid="{35841FCF-EBB4-3049-A62E-0D1A62BBCEA5}"/>
    <hyperlink ref="H73" r:id="rId121" display="https://dataview.ncbi.nlm.nih.gov/object/SRR30712207" xr:uid="{7F2A1B66-DB05-BC4B-BE98-CFBAC91513F4}"/>
    <hyperlink ref="H66" r:id="rId122" display="https://dataview.ncbi.nlm.nih.gov/object/SRR30712215" xr:uid="{CD1B9958-D03D-444E-915B-707ED389E725}"/>
    <hyperlink ref="H69" r:id="rId123" display="https://dataview.ncbi.nlm.nih.gov/object/SRR30712212" xr:uid="{277E8EAB-25DA-354A-A5EF-83268088CFB9}"/>
    <hyperlink ref="H68" r:id="rId124" display="https://dataview.ncbi.nlm.nih.gov/object/SRR30712213" xr:uid="{6B564A52-7446-7B49-84D2-37A10C015C4B}"/>
    <hyperlink ref="H71" r:id="rId125" display="https://dataview.ncbi.nlm.nih.gov/object/SRR30712210" xr:uid="{04882127-C074-1E4B-A39F-7CDDA144606E}"/>
    <hyperlink ref="H65" r:id="rId126" display="https://dataview.ncbi.nlm.nih.gov/object/SRR30712216" xr:uid="{30F6F099-F396-E542-89AB-4D98E090ADE7}"/>
    <hyperlink ref="H86" r:id="rId127" display="https://dataview.ncbi.nlm.nih.gov/object/SRR30712193" xr:uid="{18363BE0-2D17-C846-99C7-DF62D75F43FE}"/>
    <hyperlink ref="H10" r:id="rId128" display="https://dataview.ncbi.nlm.nih.gov/object/SRR30712198" xr:uid="{AAA0E4B0-ABB5-CD40-AA5B-A0F5EF7538E2}"/>
    <hyperlink ref="H84" r:id="rId129" display="https://dataview.ncbi.nlm.nih.gov/object/SRR30712195" xr:uid="{628FCCD3-DCA7-5545-9544-429411580BC6}"/>
    <hyperlink ref="H87" r:id="rId130" display="https://dataview.ncbi.nlm.nih.gov/object/SRR30712192" xr:uid="{D21D160A-F600-3941-9090-431947BF598F}"/>
    <hyperlink ref="H81" r:id="rId131" display="https://dataview.ncbi.nlm.nih.gov/object/SRR30712199" xr:uid="{8D75C928-2441-6947-883B-900A26A1262E}"/>
    <hyperlink ref="H83" r:id="rId132" display="https://dataview.ncbi.nlm.nih.gov/object/SRR30712196" xr:uid="{3F2F6F19-CD0D-6141-9F2F-7ADBB0B76C0D}"/>
    <hyperlink ref="H82" r:id="rId133" display="https://dataview.ncbi.nlm.nih.gov/object/SRR30712197" xr:uid="{48D69A29-3ACE-8346-AF9B-0EEA066390D7}"/>
    <hyperlink ref="H117" r:id="rId134" display="https://dataview.ncbi.nlm.nih.gov/object/SRR30712190" xr:uid="{4D5F97EF-4B34-984F-BD7B-93B9F3124D0D}"/>
    <hyperlink ref="H85" r:id="rId135" display="https://dataview.ncbi.nlm.nih.gov/object/SRR30712194" xr:uid="{A1D8F0E1-9804-194E-96AD-B302D355B8F4}"/>
    <hyperlink ref="H76" r:id="rId136" display="https://dataview.ncbi.nlm.nih.gov/object/SRR30712204" xr:uid="{61D011DA-1128-5945-84FD-7B4DA9137FC0}"/>
    <hyperlink ref="H79" r:id="rId137" display="https://dataview.ncbi.nlm.nih.gov/object/SRR30712201" xr:uid="{C1F18F72-84CF-1F46-B786-A7715EB3C036}"/>
    <hyperlink ref="H116" r:id="rId138" display="https://dataview.ncbi.nlm.nih.gov/object/SRR30712191" xr:uid="{D458D59A-FB83-684C-A490-5E0CCD550174}"/>
    <hyperlink ref="H80" r:id="rId139" display="https://dataview.ncbi.nlm.nih.gov/object/SRR30712200" xr:uid="{BBD497D7-A1E2-094D-8B28-E7311DB1577D}"/>
    <hyperlink ref="H11" r:id="rId140" display="https://dataview.ncbi.nlm.nih.gov/object/SRR30712187" xr:uid="{930789EA-1635-024F-8368-B75330065355}"/>
    <hyperlink ref="H122" r:id="rId141" display="https://dataview.ncbi.nlm.nih.gov/object/SRR30712178" xr:uid="{87A75AF3-A502-0E4A-B67D-3672F64EC771}"/>
    <hyperlink ref="H118" r:id="rId142" display="https://dataview.ncbi.nlm.nih.gov/object/SRR30712189" xr:uid="{3E8BBB03-C058-0745-90E0-0F2A860D3516}"/>
    <hyperlink ref="H121" r:id="rId143" display="https://dataview.ncbi.nlm.nih.gov/object/SRR30712182" xr:uid="{30CB3B64-6830-984B-A2DC-51C6805642B5}"/>
    <hyperlink ref="H120" r:id="rId144" display="https://dataview.ncbi.nlm.nih.gov/object/SRR30712184" xr:uid="{E20C7440-C5EB-C440-A57F-617602C937BE}"/>
    <hyperlink ref="H123" r:id="rId145" display="https://dataview.ncbi.nlm.nih.gov/object/SRR30712177" xr:uid="{778787A2-B74A-4044-B5B8-C5E2EF6BC0CE}"/>
    <hyperlink ref="H119" r:id="rId146" display="https://dataview.ncbi.nlm.nih.gov/object/SRR30712188" xr:uid="{FBED3AC4-D889-F840-A056-9963869E5B66}"/>
    <hyperlink ref="H77" r:id="rId147" display="https://dataview.ncbi.nlm.nih.gov/object/SRR30712203" xr:uid="{30AC3AC7-0AF3-C44D-A235-306AE962C79C}"/>
    <hyperlink ref="H78" r:id="rId148" display="https://dataview.ncbi.nlm.nih.gov/object/SRR30712202" xr:uid="{AEE2A694-EF25-8341-905E-EDD353FA4DA2}"/>
    <hyperlink ref="H113" r:id="rId149" display="https://dataview.ncbi.nlm.nih.gov/object/SRR30712240" xr:uid="{3F653294-4702-1A4E-8670-8017F5DB22F6}"/>
  </hyperlinks>
  <pageMargins left="0.7" right="0.7" top="0.75" bottom="0.75" header="0.3" footer="0.3"/>
  <tableParts count="1">
    <tablePart r:id="rId1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Keene-Snickers,Lexi</cp:lastModifiedBy>
  <dcterms:created xsi:type="dcterms:W3CDTF">2024-08-26T16:01:08Z</dcterms:created>
  <dcterms:modified xsi:type="dcterms:W3CDTF">2025-09-29T15:48:08Z</dcterms:modified>
</cp:coreProperties>
</file>