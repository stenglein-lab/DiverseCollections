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data/"/>
    </mc:Choice>
  </mc:AlternateContent>
  <xr:revisionPtr revIDLastSave="0" documentId="13_ncr:1_{F4EF1C00-D7D0-0B40-95CA-620C9659478C}" xr6:coauthVersionLast="47" xr6:coauthVersionMax="47" xr10:uidLastSave="{00000000-0000-0000-0000-000000000000}"/>
  <bookViews>
    <workbookView xWindow="0" yWindow="1240" windowWidth="31380" windowHeight="17640" xr2:uid="{2FD151FF-324E-8F4B-B590-25CABDE34919}"/>
  </bookViews>
  <sheets>
    <sheet name="Metadata_Table" sheetId="1" r:id="rId1"/>
    <sheet name="paper_metadata_tabl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2" i="1"/>
</calcChain>
</file>

<file path=xl/sharedStrings.xml><?xml version="1.0" encoding="utf-8"?>
<sst xmlns="http://schemas.openxmlformats.org/spreadsheetml/2006/main" count="5169" uniqueCount="483">
  <si>
    <t>sample_name</t>
  </si>
  <si>
    <t>complete</t>
  </si>
  <si>
    <t>low_pos</t>
  </si>
  <si>
    <t>ct_1600_1601</t>
  </si>
  <si>
    <t>ct_2165_2170</t>
  </si>
  <si>
    <t>expected_result</t>
  </si>
  <si>
    <t>1020_A7</t>
  </si>
  <si>
    <t>y</t>
  </si>
  <si>
    <t>n</t>
  </si>
  <si>
    <t>1020_A8</t>
  </si>
  <si>
    <t>-</t>
  </si>
  <si>
    <t>1020_A8_2</t>
  </si>
  <si>
    <t>1020_B11</t>
  </si>
  <si>
    <t>1020_B6</t>
  </si>
  <si>
    <t>1020_C1</t>
  </si>
  <si>
    <t>1020_C2</t>
  </si>
  <si>
    <t>1020_D1</t>
  </si>
  <si>
    <t>1020_D3</t>
  </si>
  <si>
    <t>1020_D9</t>
  </si>
  <si>
    <t>1020_F_0818_D11</t>
  </si>
  <si>
    <t>1020_F_0818_D4</t>
  </si>
  <si>
    <t>1020_F_0818_E4</t>
  </si>
  <si>
    <t>1020_F_31</t>
  </si>
  <si>
    <t>1020_F_36</t>
  </si>
  <si>
    <t>1020_F_40</t>
  </si>
  <si>
    <t>1020_F_44</t>
  </si>
  <si>
    <t>1020_F1</t>
  </si>
  <si>
    <t>1020_F3</t>
  </si>
  <si>
    <t>1020_F6</t>
  </si>
  <si>
    <t>1020_F8</t>
  </si>
  <si>
    <t>1020_G1</t>
  </si>
  <si>
    <t>1020_G3</t>
  </si>
  <si>
    <t>1020_H7</t>
  </si>
  <si>
    <t>1020_M_0818_A10</t>
  </si>
  <si>
    <t>1020_M_0818_A5</t>
  </si>
  <si>
    <t>1020_M_0818_A7</t>
  </si>
  <si>
    <t>1020_M_19</t>
  </si>
  <si>
    <t>1020_M_8</t>
  </si>
  <si>
    <t>1428_F_15</t>
  </si>
  <si>
    <t>1428_F_8</t>
  </si>
  <si>
    <t>1428_M_3</t>
  </si>
  <si>
    <t>1428_M_4</t>
  </si>
  <si>
    <t>1428_M_6</t>
  </si>
  <si>
    <t>1428-F-21</t>
  </si>
  <si>
    <t>1428-M-21</t>
  </si>
  <si>
    <t>1428-M-36</t>
  </si>
  <si>
    <t>1428-M-42</t>
  </si>
  <si>
    <t>1428-M-43</t>
  </si>
  <si>
    <t>500_F_11</t>
  </si>
  <si>
    <t>500_F_12</t>
  </si>
  <si>
    <t>500_F_21</t>
  </si>
  <si>
    <t>500_F_41</t>
  </si>
  <si>
    <t>500_F_42</t>
  </si>
  <si>
    <t>500_F_67</t>
  </si>
  <si>
    <t>500_M_100</t>
  </si>
  <si>
    <t>500_M_16</t>
  </si>
  <si>
    <t>500_M_17</t>
  </si>
  <si>
    <t>500_M_40</t>
  </si>
  <si>
    <t>500_M_54</t>
  </si>
  <si>
    <t>500_M_55</t>
  </si>
  <si>
    <t>500_M_57</t>
  </si>
  <si>
    <t>500_M_6</t>
  </si>
  <si>
    <t>500_M_60</t>
  </si>
  <si>
    <t>500_M_61</t>
  </si>
  <si>
    <t>500_M_61_2</t>
  </si>
  <si>
    <t>500_M_65</t>
  </si>
  <si>
    <t>500_M_65_2</t>
  </si>
  <si>
    <t>500_M_71</t>
  </si>
  <si>
    <t>500_M_71_2</t>
  </si>
  <si>
    <t>500_M_83</t>
  </si>
  <si>
    <t>500_M_84</t>
  </si>
  <si>
    <t>500_M_F10</t>
  </si>
  <si>
    <t>500_M_F11</t>
  </si>
  <si>
    <t>500_M_F9</t>
  </si>
  <si>
    <t>500_M_G2</t>
  </si>
  <si>
    <t>Adobe-B4</t>
  </si>
  <si>
    <t>Adobe-B6</t>
  </si>
  <si>
    <t>Adobe-B8</t>
  </si>
  <si>
    <t>Adobe-C1</t>
  </si>
  <si>
    <t>Adobe-C2</t>
  </si>
  <si>
    <t>Briarwood_D10</t>
  </si>
  <si>
    <t>Briarwood_D9</t>
  </si>
  <si>
    <t>CVID_0825_B1</t>
  </si>
  <si>
    <t>CVID_0825_C10</t>
  </si>
  <si>
    <t>CVID_0911_E3</t>
  </si>
  <si>
    <t>CVID_0911_F3</t>
  </si>
  <si>
    <t>CVID_0911_F4</t>
  </si>
  <si>
    <t>CVID_1006_G6</t>
  </si>
  <si>
    <t>CVID_1006_G7</t>
  </si>
  <si>
    <t>CVID_1006_H2</t>
  </si>
  <si>
    <t>CVID_1006_H3</t>
  </si>
  <si>
    <t>CVID_1006_H4</t>
  </si>
  <si>
    <t>hydei-20-TD-1</t>
  </si>
  <si>
    <t>James-A4</t>
  </si>
  <si>
    <t>James-A5</t>
  </si>
  <si>
    <t>ME-F-1</t>
  </si>
  <si>
    <t>ME-F-2</t>
  </si>
  <si>
    <t>ME-F-3</t>
  </si>
  <si>
    <t>ME-F-9</t>
  </si>
  <si>
    <t>ME-M-1</t>
  </si>
  <si>
    <t>ME-M-10</t>
  </si>
  <si>
    <t>ME-M-11</t>
  </si>
  <si>
    <t>ME-M-13</t>
  </si>
  <si>
    <t>ME-M-14</t>
  </si>
  <si>
    <t>ME-M-17</t>
  </si>
  <si>
    <t>ME-M-18</t>
  </si>
  <si>
    <t>ME-M-19</t>
  </si>
  <si>
    <t>ME-M-2</t>
  </si>
  <si>
    <t>ME-M-20</t>
  </si>
  <si>
    <t>ME-M-3</t>
  </si>
  <si>
    <t>ME-M-4</t>
  </si>
  <si>
    <t>ME-M-6</t>
  </si>
  <si>
    <t>ME-M-7</t>
  </si>
  <si>
    <t>ME-M-8</t>
  </si>
  <si>
    <t>ME-M-9</t>
  </si>
  <si>
    <t>mel-20-AG-4</t>
  </si>
  <si>
    <t>mel-20-AG-5</t>
  </si>
  <si>
    <t>mel-20-TD-3</t>
  </si>
  <si>
    <t>mel-21-LK-5</t>
  </si>
  <si>
    <t>mel-21-MDS-9</t>
  </si>
  <si>
    <t>Myrtle_E10</t>
  </si>
  <si>
    <t>Myrtle_E9</t>
  </si>
  <si>
    <t>Myrtle-D1</t>
  </si>
  <si>
    <t>Myrtle-D11</t>
  </si>
  <si>
    <t>Myrtle-D5</t>
  </si>
  <si>
    <t>Myrtle-D8</t>
  </si>
  <si>
    <t>Myrtle-E4</t>
  </si>
  <si>
    <t>OH_M_3</t>
  </si>
  <si>
    <t>OH_M_4</t>
  </si>
  <si>
    <t>OH_M_5</t>
  </si>
  <si>
    <t>OH_M_6</t>
  </si>
  <si>
    <t>OH_M_7</t>
  </si>
  <si>
    <t>OH-F-1</t>
  </si>
  <si>
    <t>OH-F-2</t>
  </si>
  <si>
    <t>OH-F-3</t>
  </si>
  <si>
    <t>Peach_1_B2</t>
  </si>
  <si>
    <t>Peach_10_F10</t>
  </si>
  <si>
    <t>Peach_11_F11</t>
  </si>
  <si>
    <t>Peach_12_H1</t>
  </si>
  <si>
    <t>Peach_13_H7</t>
  </si>
  <si>
    <t>Peach_2_B4</t>
  </si>
  <si>
    <t>Peach_3_B5</t>
  </si>
  <si>
    <t>Peach_4_B7</t>
  </si>
  <si>
    <t>Peach_5_B9</t>
  </si>
  <si>
    <t>Peach_6_E5</t>
  </si>
  <si>
    <t>Peach_7_F6</t>
  </si>
  <si>
    <t>Peach_8_F7</t>
  </si>
  <si>
    <t>Peach_9_F8</t>
  </si>
  <si>
    <t>Penn-F-1</t>
  </si>
  <si>
    <t>Penn-F-12</t>
  </si>
  <si>
    <t>Penn-F-2</t>
  </si>
  <si>
    <t>Penn-F-3</t>
  </si>
  <si>
    <t>Penn-F-4</t>
  </si>
  <si>
    <t>Penn-F-6</t>
  </si>
  <si>
    <t>Penn-F-9</t>
  </si>
  <si>
    <t>Penn-M-10</t>
  </si>
  <si>
    <t>Penn-M-11</t>
  </si>
  <si>
    <t>Penn-M-14</t>
  </si>
  <si>
    <t>Penn-M-15</t>
  </si>
  <si>
    <t>Penn-M-2</t>
  </si>
  <si>
    <t>Penn-M-8</t>
  </si>
  <si>
    <t>sim-20-AG-3</t>
  </si>
  <si>
    <t>sim-20-TD-4</t>
  </si>
  <si>
    <t>sim-20-TD-5</t>
  </si>
  <si>
    <t>location</t>
  </si>
  <si>
    <t>species</t>
  </si>
  <si>
    <t>Colorado</t>
  </si>
  <si>
    <t>Maine</t>
  </si>
  <si>
    <t>Ohio</t>
  </si>
  <si>
    <t>Pennsylvania</t>
  </si>
  <si>
    <t>Drosophila melanogaster</t>
  </si>
  <si>
    <t>Drosophila affinis</t>
  </si>
  <si>
    <t>undetermined</t>
  </si>
  <si>
    <t>galbut_present</t>
  </si>
  <si>
    <t>chaq_present</t>
  </si>
  <si>
    <t>chaq_complete</t>
  </si>
  <si>
    <t>galbut_complete</t>
  </si>
  <si>
    <t>present</t>
  </si>
  <si>
    <t>num_seqs_submit</t>
  </si>
  <si>
    <t>RNA1_submit</t>
  </si>
  <si>
    <t>RNA2_submit</t>
  </si>
  <si>
    <t>RNA3_submit</t>
  </si>
  <si>
    <t>Chaq_submit</t>
  </si>
  <si>
    <t>num_seqs_total</t>
  </si>
  <si>
    <t>RNA1_total</t>
  </si>
  <si>
    <t>RNA2_total</t>
  </si>
  <si>
    <t>RNA3_total</t>
  </si>
  <si>
    <t>Chaq_total</t>
  </si>
  <si>
    <t>genotype</t>
  </si>
  <si>
    <t>A</t>
  </si>
  <si>
    <t>B</t>
  </si>
  <si>
    <t>ct_rpl</t>
  </si>
  <si>
    <t>accession</t>
  </si>
  <si>
    <t>PQ625205, PQ625046, PQ625047</t>
  </si>
  <si>
    <t>PQ625057, PQ624953, PQ624841, PQ624842</t>
  </si>
  <si>
    <t>PQ625058, PQ624954, PQ624843, PQ624844</t>
  </si>
  <si>
    <t>PQ625154, PQ625059, PQ624955, PQ624845</t>
  </si>
  <si>
    <t>PQ625155, PQ625060, PQ624956, PQ624846</t>
  </si>
  <si>
    <t>PQ625061, PQ624957, PQ624958, PQ624847</t>
  </si>
  <si>
    <t>PQ625156, PQ625062, PQ624959, PQ624848, PQ624849</t>
  </si>
  <si>
    <t>PQ625063, PQ624960, PQ624850</t>
  </si>
  <si>
    <t>PQ625064, PQ624961, PQ624851</t>
  </si>
  <si>
    <t>PQ625157, PQ625065, PQ624962, PQ624852</t>
  </si>
  <si>
    <t>PQ625066, PQ624963, PQ624853</t>
  </si>
  <si>
    <t>PQ625158, PQ625067, PQ624964, PQ624854</t>
  </si>
  <si>
    <t>PQ625068, PQ624965, PQ624855, PQ624856</t>
  </si>
  <si>
    <t>PQ625159, PQ625069, PQ624966, PQ624857</t>
  </si>
  <si>
    <t>PQ625160, PQ625070, PQ624967, PQ624858</t>
  </si>
  <si>
    <t>PQ625161, PQ625071, PQ624968, PQ624859</t>
  </si>
  <si>
    <t>PQ625162, PQ625072, PQ624969, PQ624860</t>
  </si>
  <si>
    <t>PQ625163, PQ625073, PQ624970, PQ624861</t>
  </si>
  <si>
    <t>PQ625074, PQ624971, PQ624862</t>
  </si>
  <si>
    <t>PQ625164, PQ625075, PQ624972, PQ624863</t>
  </si>
  <si>
    <t>PQ625165, PQ625076, PQ624973, PQ624864</t>
  </si>
  <si>
    <t>PQ625077, PQ624974, PQ624865</t>
  </si>
  <si>
    <t>PQ625078, PQ624975, PQ624866</t>
  </si>
  <si>
    <t>PQ625166, PQ625079, PQ624976, PQ624867, PQ624868</t>
  </si>
  <si>
    <t>PQ625167, PQ625080, PQ624977, PQ624869</t>
  </si>
  <si>
    <t>PQ625081, PQ624978, PQ624870</t>
  </si>
  <si>
    <t>PQ625082, PQ624979, PQ624871</t>
  </si>
  <si>
    <t>PQ625168, PQ625083, PQ624980, PQ624872</t>
  </si>
  <si>
    <t>PQ625084, PQ624981, PQ624873</t>
  </si>
  <si>
    <t>PQ625169, PQ625085, PQ624982, PQ624874</t>
  </si>
  <si>
    <t>PQ625170, PQ625086, PQ624983, PQ624875</t>
  </si>
  <si>
    <t>PQ625087, PQ624984, PQ624876</t>
  </si>
  <si>
    <t>PQ625171, PQ625088, PQ624985, PQ624877, PQ624878</t>
  </si>
  <si>
    <t>PQ625089, PQ624986, PQ624879</t>
  </si>
  <si>
    <t>PQ625172, PQ625090, PQ624987, PQ624880</t>
  </si>
  <si>
    <t>PQ625091, PQ624988, PQ624881</t>
  </si>
  <si>
    <t>PQ625092, PQ624989, PQ624882</t>
  </si>
  <si>
    <t>PQ625093, PQ624990, PQ624883</t>
  </si>
  <si>
    <t>PQ625173, PQ625094, PQ624991, PQ624884</t>
  </si>
  <si>
    <t>PQ625174, PQ625095, PQ624992, PQ624885</t>
  </si>
  <si>
    <t>PQ625175, PQ625096, PQ624993, PQ624886</t>
  </si>
  <si>
    <t>PQ625097, PQ624994, PQ624887</t>
  </si>
  <si>
    <t>PQ625176, PQ625098, PQ624995, PQ624888</t>
  </si>
  <si>
    <t>PQ625099, PQ624996, PQ624889</t>
  </si>
  <si>
    <t>PQ625100, PQ624997, PQ624890, PQ624891</t>
  </si>
  <si>
    <t>PQ625177, PQ625101, PQ624998, PQ624892</t>
  </si>
  <si>
    <t>PQ624893</t>
  </si>
  <si>
    <t>PQ625102, PQ624999, PQ624894</t>
  </si>
  <si>
    <t>PQ625178, PQ625103, PQ625000, PQ624895</t>
  </si>
  <si>
    <t>PQ625104, PQ625001, PQ624896</t>
  </si>
  <si>
    <t>PQ625105, PQ625002, PQ624897</t>
  </si>
  <si>
    <t>PQ625179, PQ625106, PQ625003, PQ624898</t>
  </si>
  <si>
    <t>PQ625107, PQ625004, PQ624899</t>
  </si>
  <si>
    <t>PQ625180, PQ625108, PQ625005, PQ624900</t>
  </si>
  <si>
    <t>PQ625109, PQ625006, PQ624901</t>
  </si>
  <si>
    <t>PQ625110, PQ625007, PQ624902</t>
  </si>
  <si>
    <t>PQ625181, PQ625111, PQ625008, PQ624903</t>
  </si>
  <si>
    <t>PQ625182, PQ625112, PQ625009, PQ624904</t>
  </si>
  <si>
    <t>PQ625183, PQ625113, PQ625010, PQ624905</t>
  </si>
  <si>
    <t>PQ625184, PQ625114, PQ625011, PQ624906</t>
  </si>
  <si>
    <t>PQ625185, PQ625115, PQ625012, PQ624907</t>
  </si>
  <si>
    <t>PQ625116, PQ625013, PQ624908</t>
  </si>
  <si>
    <t>PQ625186, PQ625117, PQ625014, PQ624909</t>
  </si>
  <si>
    <t>PQ625187, PQ625188, PQ625118, PQ625015, PQ624910</t>
  </si>
  <si>
    <t>PQ625189, PQ625016, PQ624911</t>
  </si>
  <si>
    <t>PQ625190, PQ625119, PQ625017, PQ624912</t>
  </si>
  <si>
    <t>PQ625018, PQ624913</t>
  </si>
  <si>
    <t>PQ625191, PQ625120, PQ625019, PQ624914</t>
  </si>
  <si>
    <t>PQ625192, PQ625193, PQ625121, PQ625020, PQ624915</t>
  </si>
  <si>
    <t>PQ625122, PQ625021, PQ624916</t>
  </si>
  <si>
    <t>PQ625123, PQ625022, PQ624917</t>
  </si>
  <si>
    <t>PQ625194, PQ625124, PQ625125, PQ625023, PQ625024, PQ624918, PQ624919</t>
  </si>
  <si>
    <t>PQ625195, PQ625126, PQ625025, PQ624920, PQ624921</t>
  </si>
  <si>
    <t>PQ625127, PQ625026, PQ624922</t>
  </si>
  <si>
    <t>PQ625196, PQ625128, PQ625027, PQ624923</t>
  </si>
  <si>
    <t>PQ625129, PQ625028, PQ624924</t>
  </si>
  <si>
    <t>PQ625130, PQ625029, PQ624925</t>
  </si>
  <si>
    <t>PQ625131, PQ625030, PQ624926</t>
  </si>
  <si>
    <t>PQ625132, PQ625031, PQ624927</t>
  </si>
  <si>
    <t>PQ625133, PQ625032, PQ624928</t>
  </si>
  <si>
    <t>PQ625134, PQ625033, PQ624929</t>
  </si>
  <si>
    <t>PQ625135, PQ625034, PQ624930</t>
  </si>
  <si>
    <t>PQ625197, PQ625136, PQ625035, PQ624931</t>
  </si>
  <si>
    <t>PQ625198, PQ625137, PQ625036, PQ624932</t>
  </si>
  <si>
    <t>PQ625138, PQ625037, PQ624933</t>
  </si>
  <si>
    <t>PQ625139, PQ625038, PQ624934</t>
  </si>
  <si>
    <t>PQ625140, PQ625039, PQ624935</t>
  </si>
  <si>
    <t>PQ625199, PQ625141, PQ625040, PQ624936, PQ624937</t>
  </si>
  <si>
    <t>PQ625200, PQ625041, PQ624938</t>
  </si>
  <si>
    <t>PQ625201, PQ625202, PQ625142, PQ625042, PQ624939</t>
  </si>
  <si>
    <t>PQ625203, PQ625143, PQ625043, PQ624940</t>
  </si>
  <si>
    <t>PQ625204, PQ625144, PQ625145, PQ625044, PQ625045, PQ624941, PQ624942</t>
  </si>
  <si>
    <t>PQ625206, PQ625146, PQ625048, PQ624943</t>
  </si>
  <si>
    <t>PQ625207, PQ625147, PQ625049, PQ624944</t>
  </si>
  <si>
    <t>PQ625208, PQ625209, PQ625148, PQ625050, PQ624945, PQ624946</t>
  </si>
  <si>
    <t>PQ625210, PQ625149, PQ625051, PQ624947</t>
  </si>
  <si>
    <t>PQ625211, PQ625150, PQ625052, PQ624948</t>
  </si>
  <si>
    <t>PQ625212, PQ625053, PQ624949</t>
  </si>
  <si>
    <t>PQ625213, PQ625151, PQ625054, PQ624950</t>
  </si>
  <si>
    <t>PQ625152, PQ625055, PQ624951</t>
  </si>
  <si>
    <t>PQ625214, PQ625153, PQ625056, PQ624952</t>
  </si>
  <si>
    <t>Sample ID</t>
  </si>
  <si>
    <t>Chaq virus sequences detected</t>
  </si>
  <si>
    <t>Yes</t>
  </si>
  <si>
    <t>No</t>
  </si>
  <si>
    <t>co</t>
  </si>
  <si>
    <t>sin</t>
  </si>
  <si>
    <t>infection_status</t>
  </si>
  <si>
    <t>clade</t>
  </si>
  <si>
    <t>A_B</t>
  </si>
  <si>
    <t>Wabash</t>
  </si>
  <si>
    <t>Elm</t>
  </si>
  <si>
    <t>Linden</t>
  </si>
  <si>
    <t>Adobe</t>
  </si>
  <si>
    <t>Briarwood</t>
  </si>
  <si>
    <t>Rampart</t>
  </si>
  <si>
    <t>Cushman</t>
  </si>
  <si>
    <t>Heathridge</t>
  </si>
  <si>
    <t>Myrtle</t>
  </si>
  <si>
    <t>JFK Parkway</t>
  </si>
  <si>
    <t>Toftrees</t>
  </si>
  <si>
    <t>Williamsburg</t>
  </si>
  <si>
    <t>James</t>
  </si>
  <si>
    <t>Michener</t>
  </si>
  <si>
    <t>(1) D. melanogaster unless otherwise noted</t>
  </si>
  <si>
    <t>(2) RT-qPCR Ct value &gt; 25</t>
  </si>
  <si>
    <t>(3) Sequence Read Archive</t>
  </si>
  <si>
    <t>SRR30712328</t>
  </si>
  <si>
    <t>SRR30712319</t>
  </si>
  <si>
    <t>SRR30712325</t>
  </si>
  <si>
    <t>SRR30712316</t>
  </si>
  <si>
    <t>SRR30712320</t>
  </si>
  <si>
    <t>SRR30712323</t>
  </si>
  <si>
    <t>SRR30712326</t>
  </si>
  <si>
    <t>SRR30712317</t>
  </si>
  <si>
    <t>SRR30712321</t>
  </si>
  <si>
    <t>SRR30712318</t>
  </si>
  <si>
    <t>SRR30712327</t>
  </si>
  <si>
    <t>SRR30712324</t>
  </si>
  <si>
    <t>SRR30712331</t>
  </si>
  <si>
    <t>SRR30712322</t>
  </si>
  <si>
    <t>SRR30712329</t>
  </si>
  <si>
    <t>SRR30712330</t>
  </si>
  <si>
    <t>SRR30712308</t>
  </si>
  <si>
    <t>SRR30712314</t>
  </si>
  <si>
    <t>SRR30712299</t>
  </si>
  <si>
    <t>SRR30712315</t>
  </si>
  <si>
    <t>SRR30712295</t>
  </si>
  <si>
    <t>SRR30712289</t>
  </si>
  <si>
    <t>SRR30712291</t>
  </si>
  <si>
    <t>SRR30712293</t>
  </si>
  <si>
    <t>SRR30712296</t>
  </si>
  <si>
    <t>SRR30712292</t>
  </si>
  <si>
    <t>SRR30712290</t>
  </si>
  <si>
    <t>SRR30712313</t>
  </si>
  <si>
    <t>SRR30712305</t>
  </si>
  <si>
    <t>SRR30712312</t>
  </si>
  <si>
    <t>SRR30712301</t>
  </si>
  <si>
    <t>SRR30712302</t>
  </si>
  <si>
    <t>SRR30712303</t>
  </si>
  <si>
    <t>SRR30712307</t>
  </si>
  <si>
    <t>SRR30712306</t>
  </si>
  <si>
    <t>SRR30712304</t>
  </si>
  <si>
    <t>SRR30712311</t>
  </si>
  <si>
    <t>SRR30712310</t>
  </si>
  <si>
    <t>SRR30712300</t>
  </si>
  <si>
    <t>SRR30712309</t>
  </si>
  <si>
    <t>SRR30712294</t>
  </si>
  <si>
    <t>SRR30712298</t>
  </si>
  <si>
    <t>SRR30712285</t>
  </si>
  <si>
    <t>SRR30712297</t>
  </si>
  <si>
    <t>SRR30712288</t>
  </si>
  <si>
    <t>SRR30712287</t>
  </si>
  <si>
    <t>SRR30712284</t>
  </si>
  <si>
    <t>SRR30712286</t>
  </si>
  <si>
    <t>SRR30712275</t>
  </si>
  <si>
    <t>SRR30712264</t>
  </si>
  <si>
    <t>SRR30712267</t>
  </si>
  <si>
    <t>SRR30712274</t>
  </si>
  <si>
    <t>SRR30712270</t>
  </si>
  <si>
    <t>SRR30712280</t>
  </si>
  <si>
    <t>SRR30712278</t>
  </si>
  <si>
    <t>SRR30712266</t>
  </si>
  <si>
    <t>SRR30712277</t>
  </si>
  <si>
    <t>SRR30712273</t>
  </si>
  <si>
    <t>SRR30712271</t>
  </si>
  <si>
    <t>SRR30712269</t>
  </si>
  <si>
    <t>SRR30712256</t>
  </si>
  <si>
    <t>SRR30712252</t>
  </si>
  <si>
    <t>SRR30712251</t>
  </si>
  <si>
    <t>SRR30712257</t>
  </si>
  <si>
    <t>SRR30712258</t>
  </si>
  <si>
    <t>SRR30712259</t>
  </si>
  <si>
    <t>SRR30712253</t>
  </si>
  <si>
    <t>SRR30712250</t>
  </si>
  <si>
    <t>SRR30712262</t>
  </si>
  <si>
    <t>SRR30712248</t>
  </si>
  <si>
    <t>SRR30712255</t>
  </si>
  <si>
    <t>SRR30712254</t>
  </si>
  <si>
    <t>SRR30712281</t>
  </si>
  <si>
    <t>SRR30712272</t>
  </si>
  <si>
    <t>SRR30712279</t>
  </si>
  <si>
    <t>SRR30712265</t>
  </si>
  <si>
    <t>SRR30712283</t>
  </si>
  <si>
    <t>SRR30712268</t>
  </si>
  <si>
    <t>SRR30712282</t>
  </si>
  <si>
    <t>SRR30712276</t>
  </si>
  <si>
    <t>SRR30712261</t>
  </si>
  <si>
    <t>SRR30712263</t>
  </si>
  <si>
    <t>SRR30712260</t>
  </si>
  <si>
    <t>SRR30712237</t>
  </si>
  <si>
    <t>SRR30712244</t>
  </si>
  <si>
    <t>SRR30712246</t>
  </si>
  <si>
    <t>SRR30712241</t>
  </si>
  <si>
    <t>SRR30712239</t>
  </si>
  <si>
    <t>SRR30712245</t>
  </si>
  <si>
    <t>SRR30712247</t>
  </si>
  <si>
    <t>SRR30712242</t>
  </si>
  <si>
    <t>SRR30712234</t>
  </si>
  <si>
    <t>SRR30712233</t>
  </si>
  <si>
    <t>SRR30712238</t>
  </si>
  <si>
    <t>SRR30712235</t>
  </si>
  <si>
    <t>SRR30712243</t>
  </si>
  <si>
    <t>SRR30712219</t>
  </si>
  <si>
    <t>SRR30712208</t>
  </si>
  <si>
    <t>SRR30712214</t>
  </si>
  <si>
    <t>SRR30712206</t>
  </si>
  <si>
    <t>SRR30712205</t>
  </si>
  <si>
    <t>SRR30712226</t>
  </si>
  <si>
    <t>SRR30712221</t>
  </si>
  <si>
    <t>SRR30712224</t>
  </si>
  <si>
    <t>SRR30712230</t>
  </si>
  <si>
    <t>SRR30712223</t>
  </si>
  <si>
    <t>SRR30712231</t>
  </si>
  <si>
    <t>SRR30712217</t>
  </si>
  <si>
    <t>SRR30712220</t>
  </si>
  <si>
    <t>SRR30712225</t>
  </si>
  <si>
    <t>SRR30712218</t>
  </si>
  <si>
    <t>SRR30712227</t>
  </si>
  <si>
    <t>SRR30712228</t>
  </si>
  <si>
    <t>SRR30712229</t>
  </si>
  <si>
    <t>SRR30712232</t>
  </si>
  <si>
    <t>SRR30712222</t>
  </si>
  <si>
    <t>SRR30712209</t>
  </si>
  <si>
    <t>SRR30712207</t>
  </si>
  <si>
    <t>SRR30712215</t>
  </si>
  <si>
    <t>SRR30712212</t>
  </si>
  <si>
    <t>SRR30712213</t>
  </si>
  <si>
    <t>SRR30712210</t>
  </si>
  <si>
    <t>SRR30712216</t>
  </si>
  <si>
    <t>SRR30712193</t>
  </si>
  <si>
    <t>SRR30712198</t>
  </si>
  <si>
    <t>SRR30712195</t>
  </si>
  <si>
    <t>SRR30712192</t>
  </si>
  <si>
    <t>SRR30712199</t>
  </si>
  <si>
    <t>SRR30712196</t>
  </si>
  <si>
    <t>SRR30712197</t>
  </si>
  <si>
    <t>SRR30712190</t>
  </si>
  <si>
    <t>SRR30712194</t>
  </si>
  <si>
    <t>SRR30712204</t>
  </si>
  <si>
    <t>SRR30712201</t>
  </si>
  <si>
    <t>SRR30712191</t>
  </si>
  <si>
    <t>SRR30712200</t>
  </si>
  <si>
    <t>SRR30712187</t>
  </si>
  <si>
    <t>SRR30712181</t>
  </si>
  <si>
    <t>SRR30712178</t>
  </si>
  <si>
    <t>SRR30712189</t>
  </si>
  <si>
    <t>SRR30712180</t>
  </si>
  <si>
    <t>SRR30712183</t>
  </si>
  <si>
    <t>SRR30712186</t>
  </si>
  <si>
    <t>SRR30712179</t>
  </si>
  <si>
    <t>SRR30712182</t>
  </si>
  <si>
    <t>SRR30712184</t>
  </si>
  <si>
    <t>SRR30712185</t>
  </si>
  <si>
    <t>SRR30712177</t>
  </si>
  <si>
    <t>SRR30712188</t>
  </si>
  <si>
    <t>SRR30712203</t>
  </si>
  <si>
    <t>SRR30712202</t>
  </si>
  <si>
    <t>SRR30712240</t>
  </si>
  <si>
    <t>Number of galbut and chaq virus reads (RPM)</t>
  </si>
  <si>
    <t>Coding-complete galbut virus sequence</t>
  </si>
  <si>
    <t>Coding-complete chaq virus sequence</t>
  </si>
  <si>
    <t>NCBI nucleotide accesion</t>
  </si>
  <si>
    <t>SRA accession</t>
  </si>
  <si>
    <t>State collected</t>
  </si>
  <si>
    <t>Street collected</t>
  </si>
  <si>
    <r>
      <rPr>
        <i/>
        <sz val="12"/>
        <rFont val="Arial"/>
        <family val="2"/>
      </rPr>
      <t>Drosophila</t>
    </r>
    <r>
      <rPr>
        <sz val="12"/>
        <rFont val="Arial"/>
        <family val="2"/>
      </rPr>
      <t xml:space="preserve"> species (1)</t>
    </r>
  </si>
  <si>
    <t>Galbut virus sequences detected</t>
  </si>
  <si>
    <t>Laurel</t>
  </si>
  <si>
    <t>Birch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</si>
</sst>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0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0" xfId="1"/>
    <xf numFmtId="0" fontId="7" fillId="0" borderId="0" xfId="1" applyFont="1" applyAlignment="1">
      <alignment horizontal="center" vertical="center" wrapText="1"/>
    </xf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164" fontId="3" fillId="0" borderId="1" xfId="0" applyNumberFormat="1" applyFont="1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2" fillId="0" borderId="4" xfId="0" applyNumberFormat="1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5B1FB-65D3-D249-895B-9DBBAC44FC6F}" name="Table1" displayName="Table1" ref="A1:K156" totalsRowShown="0" headerRowDxfId="25" dataDxfId="24">
  <autoFilter ref="A1:K156" xr:uid="{8415B1FB-65D3-D249-895B-9DBBAC44FC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DE31B27-EDEE-574B-ACA4-E9AE23E36D5D}" name="Sample ID" dataDxfId="23"/>
    <tableColumn id="2" xr3:uid="{06BD34C7-8C51-4641-B390-D324A1285308}" name="State collected" dataDxfId="22"/>
    <tableColumn id="10" xr3:uid="{0B313583-EA96-5A4F-914E-83C46E1052E9}" name="Street collected" dataDxfId="21"/>
    <tableColumn id="3" xr3:uid="{D797F865-00AE-964E-B6FC-46ECEADE4ADF}" name="Drosophila species (1)" dataDxfId="20"/>
    <tableColumn id="4" xr3:uid="{B193963F-9167-2F4C-A115-939EA3E5921C}" name="Galbut virus sequences detected" dataDxfId="19"/>
    <tableColumn id="5" xr3:uid="{ED739C16-E33C-6F4F-8B6B-AFF5AD972C8D}" name="Coding-complete galbut virus sequence" dataDxfId="18"/>
    <tableColumn id="6" xr3:uid="{7BD271D0-7461-2D4C-BA9E-1B149153F1F0}" name="Chaq virus sequences detected" dataDxfId="17"/>
    <tableColumn id="7" xr3:uid="{F1EACD6C-5021-5B44-9BB6-74C18299A2AB}" name="Coding-complete chaq virus sequence" dataDxfId="16"/>
    <tableColumn id="9" xr3:uid="{362A8E87-9A84-344B-B2E5-2C5AC3892BBC}" name="NCBI nucleotide accesion" dataDxfId="15"/>
    <tableColumn id="11" xr3:uid="{9468F92F-C4A6-7C4C-9935-051201B7D8C0}" name="SRA accession" dataDxfId="14"/>
    <tableColumn id="12" xr3:uid="{17C15969-0A2A-FA4A-B8CD-E0EEE48E9FC2}" name="Number of galbut and chaq virus reads (RPM)" dataDxfId="13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A2096-BED9-7B46-A796-064F648C66D5}" name="Table2" displayName="Table2" ref="A1:K156" totalsRowShown="0" headerRowDxfId="3" dataDxfId="4">
  <autoFilter ref="A1:K156" xr:uid="{A79A2096-BED9-7B46-A796-064F648C66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EDE705D-403C-4C43-89F6-5C403C0027EB}" name="Sample ID" dataDxfId="12"/>
    <tableColumn id="2" xr3:uid="{3F745AEA-D58F-134F-8A54-F8817459A1EB}" name="State collected" dataDxfId="11"/>
    <tableColumn id="3" xr3:uid="{38B34B30-46E0-514B-9648-C4F757307CE2}" name="Street collected" dataDxfId="10"/>
    <tableColumn id="4" xr3:uid="{ADC49106-06A6-5A49-8150-63A07DF1B638}" name="Drosophila species (1)" dataDxfId="9"/>
    <tableColumn id="5" xr3:uid="{B91566AC-C5C2-D14B-829E-860C6D73432D}" name="Galbut virus sequences detected" dataDxfId="8"/>
    <tableColumn id="6" xr3:uid="{FF4A2C30-DBDC-D846-A1F4-2F54148F8E08}" name="Coding-complete galbut virus sequence" dataDxfId="7"/>
    <tableColumn id="7" xr3:uid="{979F0F28-B913-D64F-93C0-E0DFC1655F8A}" name="Chaq virus sequences detected" dataDxfId="6"/>
    <tableColumn id="8" xr3:uid="{5A606927-72D7-C54E-A80A-BFC4099CAB88}" name="Coding-complete chaq virus sequence" dataDxfId="5"/>
    <tableColumn id="9" xr3:uid="{1E6DF1C8-1DE6-6F49-86A4-4468FEF6D726}" name="NCBI nucleotide accesion" dataDxfId="2"/>
    <tableColumn id="10" xr3:uid="{A090AF55-3F6A-ED4C-8B3B-4467C0939186}" name="SRA accession" dataDxfId="0" dataCellStyle="Hyperlink"/>
    <tableColumn id="11" xr3:uid="{ACB1E3BC-36BF-3B41-A547-FE48649191F5}" name="Number of galbut and chaq virus reads (RPM)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view.ncbi.nlm.nih.gov/object/SRR30712229" TargetMode="External"/><Relationship Id="rId21" Type="http://schemas.openxmlformats.org/officeDocument/2006/relationships/hyperlink" Target="https://dataview.ncbi.nlm.nih.gov/object/SRR30712289" TargetMode="External"/><Relationship Id="rId42" Type="http://schemas.openxmlformats.org/officeDocument/2006/relationships/hyperlink" Target="https://dataview.ncbi.nlm.nih.gov/object/SRR30712298" TargetMode="External"/><Relationship Id="rId63" Type="http://schemas.openxmlformats.org/officeDocument/2006/relationships/hyperlink" Target="https://dataview.ncbi.nlm.nih.gov/object/SRR30712251" TargetMode="External"/><Relationship Id="rId84" Type="http://schemas.openxmlformats.org/officeDocument/2006/relationships/hyperlink" Target="https://dataview.ncbi.nlm.nih.gov/object/SRR30712260" TargetMode="External"/><Relationship Id="rId138" Type="http://schemas.openxmlformats.org/officeDocument/2006/relationships/hyperlink" Target="https://dataview.ncbi.nlm.nih.gov/object/SRR30712191" TargetMode="External"/><Relationship Id="rId107" Type="http://schemas.openxmlformats.org/officeDocument/2006/relationships/hyperlink" Target="https://dataview.ncbi.nlm.nih.gov/object/SRR30712224" TargetMode="External"/><Relationship Id="rId11" Type="http://schemas.openxmlformats.org/officeDocument/2006/relationships/hyperlink" Target="https://dataview.ncbi.nlm.nih.gov/object/SRR30712327" TargetMode="External"/><Relationship Id="rId32" Type="http://schemas.openxmlformats.org/officeDocument/2006/relationships/hyperlink" Target="https://dataview.ncbi.nlm.nih.gov/object/SRR30712302" TargetMode="External"/><Relationship Id="rId53" Type="http://schemas.openxmlformats.org/officeDocument/2006/relationships/hyperlink" Target="https://dataview.ncbi.nlm.nih.gov/object/SRR30712270" TargetMode="External"/><Relationship Id="rId74" Type="http://schemas.openxmlformats.org/officeDocument/2006/relationships/hyperlink" Target="https://dataview.ncbi.nlm.nih.gov/object/SRR30712272" TargetMode="External"/><Relationship Id="rId128" Type="http://schemas.openxmlformats.org/officeDocument/2006/relationships/hyperlink" Target="https://dataview.ncbi.nlm.nih.gov/object/SRR30712198" TargetMode="External"/><Relationship Id="rId149" Type="http://schemas.openxmlformats.org/officeDocument/2006/relationships/hyperlink" Target="https://dataview.ncbi.nlm.nih.gov/object/SRR30712184" TargetMode="External"/><Relationship Id="rId5" Type="http://schemas.openxmlformats.org/officeDocument/2006/relationships/hyperlink" Target="https://dataview.ncbi.nlm.nih.gov/object/SRR30712320" TargetMode="External"/><Relationship Id="rId95" Type="http://schemas.openxmlformats.org/officeDocument/2006/relationships/hyperlink" Target="https://dataview.ncbi.nlm.nih.gov/object/SRR30712238" TargetMode="External"/><Relationship Id="rId22" Type="http://schemas.openxmlformats.org/officeDocument/2006/relationships/hyperlink" Target="https://dataview.ncbi.nlm.nih.gov/object/SRR30712295" TargetMode="External"/><Relationship Id="rId27" Type="http://schemas.openxmlformats.org/officeDocument/2006/relationships/hyperlink" Target="https://dataview.ncbi.nlm.nih.gov/object/SRR30712290" TargetMode="External"/><Relationship Id="rId43" Type="http://schemas.openxmlformats.org/officeDocument/2006/relationships/hyperlink" Target="https://dataview.ncbi.nlm.nih.gov/object/SRR30712285" TargetMode="External"/><Relationship Id="rId48" Type="http://schemas.openxmlformats.org/officeDocument/2006/relationships/hyperlink" Target="https://dataview.ncbi.nlm.nih.gov/object/SRR30712286" TargetMode="External"/><Relationship Id="rId64" Type="http://schemas.openxmlformats.org/officeDocument/2006/relationships/hyperlink" Target="https://dataview.ncbi.nlm.nih.gov/object/SRR30712257" TargetMode="External"/><Relationship Id="rId69" Type="http://schemas.openxmlformats.org/officeDocument/2006/relationships/hyperlink" Target="https://dataview.ncbi.nlm.nih.gov/object/SRR30712262" TargetMode="External"/><Relationship Id="rId113" Type="http://schemas.openxmlformats.org/officeDocument/2006/relationships/hyperlink" Target="https://dataview.ncbi.nlm.nih.gov/object/SRR30712225" TargetMode="External"/><Relationship Id="rId118" Type="http://schemas.openxmlformats.org/officeDocument/2006/relationships/hyperlink" Target="https://dataview.ncbi.nlm.nih.gov/object/SRR30712232" TargetMode="External"/><Relationship Id="rId134" Type="http://schemas.openxmlformats.org/officeDocument/2006/relationships/hyperlink" Target="https://dataview.ncbi.nlm.nih.gov/object/SRR30712190" TargetMode="External"/><Relationship Id="rId139" Type="http://schemas.openxmlformats.org/officeDocument/2006/relationships/hyperlink" Target="https://dataview.ncbi.nlm.nih.gov/object/SRR30712200" TargetMode="External"/><Relationship Id="rId80" Type="http://schemas.openxmlformats.org/officeDocument/2006/relationships/hyperlink" Target="https://dataview.ncbi.nlm.nih.gov/object/SRR30712276" TargetMode="External"/><Relationship Id="rId85" Type="http://schemas.openxmlformats.org/officeDocument/2006/relationships/hyperlink" Target="https://dataview.ncbi.nlm.nih.gov/object/SRR30712237" TargetMode="External"/><Relationship Id="rId150" Type="http://schemas.openxmlformats.org/officeDocument/2006/relationships/hyperlink" Target="https://dataview.ncbi.nlm.nih.gov/object/SRR30712185" TargetMode="External"/><Relationship Id="rId155" Type="http://schemas.openxmlformats.org/officeDocument/2006/relationships/hyperlink" Target="https://dataview.ncbi.nlm.nih.gov/object/SRR30712240" TargetMode="External"/><Relationship Id="rId12" Type="http://schemas.openxmlformats.org/officeDocument/2006/relationships/hyperlink" Target="https://dataview.ncbi.nlm.nih.gov/object/SRR30712324" TargetMode="External"/><Relationship Id="rId17" Type="http://schemas.openxmlformats.org/officeDocument/2006/relationships/hyperlink" Target="https://dataview.ncbi.nlm.nih.gov/object/SRR30712308" TargetMode="External"/><Relationship Id="rId33" Type="http://schemas.openxmlformats.org/officeDocument/2006/relationships/hyperlink" Target="https://dataview.ncbi.nlm.nih.gov/object/SRR30712303" TargetMode="External"/><Relationship Id="rId38" Type="http://schemas.openxmlformats.org/officeDocument/2006/relationships/hyperlink" Target="https://dataview.ncbi.nlm.nih.gov/object/SRR30712310" TargetMode="External"/><Relationship Id="rId59" Type="http://schemas.openxmlformats.org/officeDocument/2006/relationships/hyperlink" Target="https://dataview.ncbi.nlm.nih.gov/object/SRR30712271" TargetMode="External"/><Relationship Id="rId103" Type="http://schemas.openxmlformats.org/officeDocument/2006/relationships/hyperlink" Target="https://dataview.ncbi.nlm.nih.gov/object/SRR30712206" TargetMode="External"/><Relationship Id="rId108" Type="http://schemas.openxmlformats.org/officeDocument/2006/relationships/hyperlink" Target="https://dataview.ncbi.nlm.nih.gov/object/SRR30712230" TargetMode="External"/><Relationship Id="rId124" Type="http://schemas.openxmlformats.org/officeDocument/2006/relationships/hyperlink" Target="https://dataview.ncbi.nlm.nih.gov/object/SRR30712213" TargetMode="External"/><Relationship Id="rId129" Type="http://schemas.openxmlformats.org/officeDocument/2006/relationships/hyperlink" Target="https://dataview.ncbi.nlm.nih.gov/object/SRR30712195" TargetMode="External"/><Relationship Id="rId54" Type="http://schemas.openxmlformats.org/officeDocument/2006/relationships/hyperlink" Target="https://dataview.ncbi.nlm.nih.gov/object/SRR30712280" TargetMode="External"/><Relationship Id="rId70" Type="http://schemas.openxmlformats.org/officeDocument/2006/relationships/hyperlink" Target="https://dataview.ncbi.nlm.nih.gov/object/SRR30712248" TargetMode="External"/><Relationship Id="rId75" Type="http://schemas.openxmlformats.org/officeDocument/2006/relationships/hyperlink" Target="https://dataview.ncbi.nlm.nih.gov/object/SRR30712279" TargetMode="External"/><Relationship Id="rId91" Type="http://schemas.openxmlformats.org/officeDocument/2006/relationships/hyperlink" Target="https://dataview.ncbi.nlm.nih.gov/object/SRR30712247" TargetMode="External"/><Relationship Id="rId96" Type="http://schemas.openxmlformats.org/officeDocument/2006/relationships/hyperlink" Target="https://dataview.ncbi.nlm.nih.gov/object/SRR30712235" TargetMode="External"/><Relationship Id="rId140" Type="http://schemas.openxmlformats.org/officeDocument/2006/relationships/hyperlink" Target="https://dataview.ncbi.nlm.nih.gov/object/SRR30712187" TargetMode="External"/><Relationship Id="rId145" Type="http://schemas.openxmlformats.org/officeDocument/2006/relationships/hyperlink" Target="https://dataview.ncbi.nlm.nih.gov/object/SRR30712183" TargetMode="External"/><Relationship Id="rId1" Type="http://schemas.openxmlformats.org/officeDocument/2006/relationships/hyperlink" Target="https://dataview.ncbi.nlm.nih.gov/object/SRR30712328" TargetMode="External"/><Relationship Id="rId6" Type="http://schemas.openxmlformats.org/officeDocument/2006/relationships/hyperlink" Target="https://dataview.ncbi.nlm.nih.gov/object/SRR30712323" TargetMode="External"/><Relationship Id="rId23" Type="http://schemas.openxmlformats.org/officeDocument/2006/relationships/hyperlink" Target="https://dataview.ncbi.nlm.nih.gov/object/SRR30712291" TargetMode="External"/><Relationship Id="rId28" Type="http://schemas.openxmlformats.org/officeDocument/2006/relationships/hyperlink" Target="https://dataview.ncbi.nlm.nih.gov/object/SRR30712313" TargetMode="External"/><Relationship Id="rId49" Type="http://schemas.openxmlformats.org/officeDocument/2006/relationships/hyperlink" Target="https://dataview.ncbi.nlm.nih.gov/object/SRR30712275" TargetMode="External"/><Relationship Id="rId114" Type="http://schemas.openxmlformats.org/officeDocument/2006/relationships/hyperlink" Target="https://dataview.ncbi.nlm.nih.gov/object/SRR30712218" TargetMode="External"/><Relationship Id="rId119" Type="http://schemas.openxmlformats.org/officeDocument/2006/relationships/hyperlink" Target="https://dataview.ncbi.nlm.nih.gov/object/SRR30712222" TargetMode="External"/><Relationship Id="rId44" Type="http://schemas.openxmlformats.org/officeDocument/2006/relationships/hyperlink" Target="https://dataview.ncbi.nlm.nih.gov/object/SRR30712297" TargetMode="External"/><Relationship Id="rId60" Type="http://schemas.openxmlformats.org/officeDocument/2006/relationships/hyperlink" Target="https://dataview.ncbi.nlm.nih.gov/object/SRR30712269" TargetMode="External"/><Relationship Id="rId65" Type="http://schemas.openxmlformats.org/officeDocument/2006/relationships/hyperlink" Target="https://dataview.ncbi.nlm.nih.gov/object/SRR30712258" TargetMode="External"/><Relationship Id="rId81" Type="http://schemas.openxmlformats.org/officeDocument/2006/relationships/hyperlink" Target="https://dataview.ncbi.nlm.nih.gov/object/SRR30712276" TargetMode="External"/><Relationship Id="rId86" Type="http://schemas.openxmlformats.org/officeDocument/2006/relationships/hyperlink" Target="https://dataview.ncbi.nlm.nih.gov/object/SRR30712244" TargetMode="External"/><Relationship Id="rId130" Type="http://schemas.openxmlformats.org/officeDocument/2006/relationships/hyperlink" Target="https://dataview.ncbi.nlm.nih.gov/object/SRR30712192" TargetMode="External"/><Relationship Id="rId135" Type="http://schemas.openxmlformats.org/officeDocument/2006/relationships/hyperlink" Target="https://dataview.ncbi.nlm.nih.gov/object/SRR30712194" TargetMode="External"/><Relationship Id="rId151" Type="http://schemas.openxmlformats.org/officeDocument/2006/relationships/hyperlink" Target="https://dataview.ncbi.nlm.nih.gov/object/SRR30712177" TargetMode="External"/><Relationship Id="rId156" Type="http://schemas.openxmlformats.org/officeDocument/2006/relationships/table" Target="../tables/table1.xml"/><Relationship Id="rId13" Type="http://schemas.openxmlformats.org/officeDocument/2006/relationships/hyperlink" Target="https://dataview.ncbi.nlm.nih.gov/object/SRR30712331" TargetMode="External"/><Relationship Id="rId18" Type="http://schemas.openxmlformats.org/officeDocument/2006/relationships/hyperlink" Target="https://dataview.ncbi.nlm.nih.gov/object/SRR30712314" TargetMode="External"/><Relationship Id="rId39" Type="http://schemas.openxmlformats.org/officeDocument/2006/relationships/hyperlink" Target="https://dataview.ncbi.nlm.nih.gov/object/SRR30712300" TargetMode="External"/><Relationship Id="rId109" Type="http://schemas.openxmlformats.org/officeDocument/2006/relationships/hyperlink" Target="https://dataview.ncbi.nlm.nih.gov/object/SRR30712223" TargetMode="External"/><Relationship Id="rId34" Type="http://schemas.openxmlformats.org/officeDocument/2006/relationships/hyperlink" Target="https://dataview.ncbi.nlm.nih.gov/object/SRR30712307" TargetMode="External"/><Relationship Id="rId50" Type="http://schemas.openxmlformats.org/officeDocument/2006/relationships/hyperlink" Target="https://dataview.ncbi.nlm.nih.gov/object/SRR30712264" TargetMode="External"/><Relationship Id="rId55" Type="http://schemas.openxmlformats.org/officeDocument/2006/relationships/hyperlink" Target="https://dataview.ncbi.nlm.nih.gov/object/SRR30712278" TargetMode="External"/><Relationship Id="rId76" Type="http://schemas.openxmlformats.org/officeDocument/2006/relationships/hyperlink" Target="https://dataview.ncbi.nlm.nih.gov/object/SRR30712265" TargetMode="External"/><Relationship Id="rId97" Type="http://schemas.openxmlformats.org/officeDocument/2006/relationships/hyperlink" Target="https://dataview.ncbi.nlm.nih.gov/object/SRR30712243" TargetMode="External"/><Relationship Id="rId104" Type="http://schemas.openxmlformats.org/officeDocument/2006/relationships/hyperlink" Target="https://dataview.ncbi.nlm.nih.gov/object/SRR30712205" TargetMode="External"/><Relationship Id="rId120" Type="http://schemas.openxmlformats.org/officeDocument/2006/relationships/hyperlink" Target="https://dataview.ncbi.nlm.nih.gov/object/SRR30712209" TargetMode="External"/><Relationship Id="rId125" Type="http://schemas.openxmlformats.org/officeDocument/2006/relationships/hyperlink" Target="https://dataview.ncbi.nlm.nih.gov/object/SRR30712210" TargetMode="External"/><Relationship Id="rId141" Type="http://schemas.openxmlformats.org/officeDocument/2006/relationships/hyperlink" Target="https://dataview.ncbi.nlm.nih.gov/object/SRR30712181" TargetMode="External"/><Relationship Id="rId146" Type="http://schemas.openxmlformats.org/officeDocument/2006/relationships/hyperlink" Target="https://dataview.ncbi.nlm.nih.gov/object/SRR30712186" TargetMode="External"/><Relationship Id="rId7" Type="http://schemas.openxmlformats.org/officeDocument/2006/relationships/hyperlink" Target="https://dataview.ncbi.nlm.nih.gov/object/SRR30712326" TargetMode="External"/><Relationship Id="rId71" Type="http://schemas.openxmlformats.org/officeDocument/2006/relationships/hyperlink" Target="https://dataview.ncbi.nlm.nih.gov/object/SRR30712255" TargetMode="External"/><Relationship Id="rId92" Type="http://schemas.openxmlformats.org/officeDocument/2006/relationships/hyperlink" Target="https://dataview.ncbi.nlm.nih.gov/object/SRR30712242" TargetMode="External"/><Relationship Id="rId2" Type="http://schemas.openxmlformats.org/officeDocument/2006/relationships/hyperlink" Target="https://dataview.ncbi.nlm.nih.gov/object/SRR30712319" TargetMode="External"/><Relationship Id="rId29" Type="http://schemas.openxmlformats.org/officeDocument/2006/relationships/hyperlink" Target="https://dataview.ncbi.nlm.nih.gov/object/SRR30712305" TargetMode="External"/><Relationship Id="rId24" Type="http://schemas.openxmlformats.org/officeDocument/2006/relationships/hyperlink" Target="https://dataview.ncbi.nlm.nih.gov/object/SRR30712293" TargetMode="External"/><Relationship Id="rId40" Type="http://schemas.openxmlformats.org/officeDocument/2006/relationships/hyperlink" Target="https://dataview.ncbi.nlm.nih.gov/object/SRR30712309" TargetMode="External"/><Relationship Id="rId45" Type="http://schemas.openxmlformats.org/officeDocument/2006/relationships/hyperlink" Target="https://dataview.ncbi.nlm.nih.gov/object/SRR30712288" TargetMode="External"/><Relationship Id="rId66" Type="http://schemas.openxmlformats.org/officeDocument/2006/relationships/hyperlink" Target="https://dataview.ncbi.nlm.nih.gov/object/SRR30712259" TargetMode="External"/><Relationship Id="rId87" Type="http://schemas.openxmlformats.org/officeDocument/2006/relationships/hyperlink" Target="https://dataview.ncbi.nlm.nih.gov/object/SRR30712246" TargetMode="External"/><Relationship Id="rId110" Type="http://schemas.openxmlformats.org/officeDocument/2006/relationships/hyperlink" Target="https://dataview.ncbi.nlm.nih.gov/object/SRR30712231" TargetMode="External"/><Relationship Id="rId115" Type="http://schemas.openxmlformats.org/officeDocument/2006/relationships/hyperlink" Target="https://dataview.ncbi.nlm.nih.gov/object/SRR30712227" TargetMode="External"/><Relationship Id="rId131" Type="http://schemas.openxmlformats.org/officeDocument/2006/relationships/hyperlink" Target="https://dataview.ncbi.nlm.nih.gov/object/SRR30712199" TargetMode="External"/><Relationship Id="rId136" Type="http://schemas.openxmlformats.org/officeDocument/2006/relationships/hyperlink" Target="https://dataview.ncbi.nlm.nih.gov/object/SRR30712204" TargetMode="External"/><Relationship Id="rId61" Type="http://schemas.openxmlformats.org/officeDocument/2006/relationships/hyperlink" Target="https://dataview.ncbi.nlm.nih.gov/object/SRR30712256" TargetMode="External"/><Relationship Id="rId82" Type="http://schemas.openxmlformats.org/officeDocument/2006/relationships/hyperlink" Target="https://dataview.ncbi.nlm.nih.gov/object/SRR30712261" TargetMode="External"/><Relationship Id="rId152" Type="http://schemas.openxmlformats.org/officeDocument/2006/relationships/hyperlink" Target="https://dataview.ncbi.nlm.nih.gov/object/SRR30712188" TargetMode="External"/><Relationship Id="rId19" Type="http://schemas.openxmlformats.org/officeDocument/2006/relationships/hyperlink" Target="https://dataview.ncbi.nlm.nih.gov/object/SRR30712299" TargetMode="External"/><Relationship Id="rId14" Type="http://schemas.openxmlformats.org/officeDocument/2006/relationships/hyperlink" Target="https://dataview.ncbi.nlm.nih.gov/object/SRR30712322" TargetMode="External"/><Relationship Id="rId30" Type="http://schemas.openxmlformats.org/officeDocument/2006/relationships/hyperlink" Target="https://dataview.ncbi.nlm.nih.gov/object/SRR30712312" TargetMode="External"/><Relationship Id="rId35" Type="http://schemas.openxmlformats.org/officeDocument/2006/relationships/hyperlink" Target="https://dataview.ncbi.nlm.nih.gov/object/SRR30712306" TargetMode="External"/><Relationship Id="rId56" Type="http://schemas.openxmlformats.org/officeDocument/2006/relationships/hyperlink" Target="https://dataview.ncbi.nlm.nih.gov/object/SRR30712266" TargetMode="External"/><Relationship Id="rId77" Type="http://schemas.openxmlformats.org/officeDocument/2006/relationships/hyperlink" Target="https://dataview.ncbi.nlm.nih.gov/object/SRR30712283" TargetMode="External"/><Relationship Id="rId100" Type="http://schemas.openxmlformats.org/officeDocument/2006/relationships/hyperlink" Target="https://dataview.ncbi.nlm.nih.gov/object/SRR30712208" TargetMode="External"/><Relationship Id="rId105" Type="http://schemas.openxmlformats.org/officeDocument/2006/relationships/hyperlink" Target="https://dataview.ncbi.nlm.nih.gov/object/SRR30712226" TargetMode="External"/><Relationship Id="rId126" Type="http://schemas.openxmlformats.org/officeDocument/2006/relationships/hyperlink" Target="https://dataview.ncbi.nlm.nih.gov/object/SRR30712216" TargetMode="External"/><Relationship Id="rId147" Type="http://schemas.openxmlformats.org/officeDocument/2006/relationships/hyperlink" Target="https://dataview.ncbi.nlm.nih.gov/object/SRR30712179" TargetMode="External"/><Relationship Id="rId8" Type="http://schemas.openxmlformats.org/officeDocument/2006/relationships/hyperlink" Target="https://dataview.ncbi.nlm.nih.gov/object/SRR30712317" TargetMode="External"/><Relationship Id="rId51" Type="http://schemas.openxmlformats.org/officeDocument/2006/relationships/hyperlink" Target="https://dataview.ncbi.nlm.nih.gov/object/SRR30712267" TargetMode="External"/><Relationship Id="rId72" Type="http://schemas.openxmlformats.org/officeDocument/2006/relationships/hyperlink" Target="https://dataview.ncbi.nlm.nih.gov/object/SRR30712254" TargetMode="External"/><Relationship Id="rId93" Type="http://schemas.openxmlformats.org/officeDocument/2006/relationships/hyperlink" Target="https://dataview.ncbi.nlm.nih.gov/object/SRR30712234" TargetMode="External"/><Relationship Id="rId98" Type="http://schemas.openxmlformats.org/officeDocument/2006/relationships/hyperlink" Target="https://dataview.ncbi.nlm.nih.gov/object/SRR30712243" TargetMode="External"/><Relationship Id="rId121" Type="http://schemas.openxmlformats.org/officeDocument/2006/relationships/hyperlink" Target="https://dataview.ncbi.nlm.nih.gov/object/SRR30712207" TargetMode="External"/><Relationship Id="rId142" Type="http://schemas.openxmlformats.org/officeDocument/2006/relationships/hyperlink" Target="https://dataview.ncbi.nlm.nih.gov/object/SRR30712178" TargetMode="External"/><Relationship Id="rId3" Type="http://schemas.openxmlformats.org/officeDocument/2006/relationships/hyperlink" Target="https://dataview.ncbi.nlm.nih.gov/object/SRR30712325" TargetMode="External"/><Relationship Id="rId25" Type="http://schemas.openxmlformats.org/officeDocument/2006/relationships/hyperlink" Target="https://dataview.ncbi.nlm.nih.gov/object/SRR30712296" TargetMode="External"/><Relationship Id="rId46" Type="http://schemas.openxmlformats.org/officeDocument/2006/relationships/hyperlink" Target="https://dataview.ncbi.nlm.nih.gov/object/SRR30712287" TargetMode="External"/><Relationship Id="rId67" Type="http://schemas.openxmlformats.org/officeDocument/2006/relationships/hyperlink" Target="https://dataview.ncbi.nlm.nih.gov/object/SRR30712253" TargetMode="External"/><Relationship Id="rId116" Type="http://schemas.openxmlformats.org/officeDocument/2006/relationships/hyperlink" Target="https://dataview.ncbi.nlm.nih.gov/object/SRR30712228" TargetMode="External"/><Relationship Id="rId137" Type="http://schemas.openxmlformats.org/officeDocument/2006/relationships/hyperlink" Target="https://dataview.ncbi.nlm.nih.gov/object/SRR30712201" TargetMode="External"/><Relationship Id="rId20" Type="http://schemas.openxmlformats.org/officeDocument/2006/relationships/hyperlink" Target="https://dataview.ncbi.nlm.nih.gov/object/SRR30712315" TargetMode="External"/><Relationship Id="rId41" Type="http://schemas.openxmlformats.org/officeDocument/2006/relationships/hyperlink" Target="https://dataview.ncbi.nlm.nih.gov/object/SRR30712294" TargetMode="External"/><Relationship Id="rId62" Type="http://schemas.openxmlformats.org/officeDocument/2006/relationships/hyperlink" Target="https://dataview.ncbi.nlm.nih.gov/object/SRR30712252" TargetMode="External"/><Relationship Id="rId83" Type="http://schemas.openxmlformats.org/officeDocument/2006/relationships/hyperlink" Target="https://dataview.ncbi.nlm.nih.gov/object/SRR30712263" TargetMode="External"/><Relationship Id="rId88" Type="http://schemas.openxmlformats.org/officeDocument/2006/relationships/hyperlink" Target="https://dataview.ncbi.nlm.nih.gov/object/SRR30712241" TargetMode="External"/><Relationship Id="rId111" Type="http://schemas.openxmlformats.org/officeDocument/2006/relationships/hyperlink" Target="https://dataview.ncbi.nlm.nih.gov/object/SRR30712217" TargetMode="External"/><Relationship Id="rId132" Type="http://schemas.openxmlformats.org/officeDocument/2006/relationships/hyperlink" Target="https://dataview.ncbi.nlm.nih.gov/object/SRR30712196" TargetMode="External"/><Relationship Id="rId153" Type="http://schemas.openxmlformats.org/officeDocument/2006/relationships/hyperlink" Target="https://dataview.ncbi.nlm.nih.gov/object/SRR30712203" TargetMode="External"/><Relationship Id="rId15" Type="http://schemas.openxmlformats.org/officeDocument/2006/relationships/hyperlink" Target="https://dataview.ncbi.nlm.nih.gov/object/SRR30712329" TargetMode="External"/><Relationship Id="rId36" Type="http://schemas.openxmlformats.org/officeDocument/2006/relationships/hyperlink" Target="https://dataview.ncbi.nlm.nih.gov/object/SRR30712304" TargetMode="External"/><Relationship Id="rId57" Type="http://schemas.openxmlformats.org/officeDocument/2006/relationships/hyperlink" Target="https://dataview.ncbi.nlm.nih.gov/object/SRR30712277" TargetMode="External"/><Relationship Id="rId106" Type="http://schemas.openxmlformats.org/officeDocument/2006/relationships/hyperlink" Target="https://dataview.ncbi.nlm.nih.gov/object/SRR30712221" TargetMode="External"/><Relationship Id="rId127" Type="http://schemas.openxmlformats.org/officeDocument/2006/relationships/hyperlink" Target="https://dataview.ncbi.nlm.nih.gov/object/SRR30712193" TargetMode="External"/><Relationship Id="rId10" Type="http://schemas.openxmlformats.org/officeDocument/2006/relationships/hyperlink" Target="https://dataview.ncbi.nlm.nih.gov/object/SRR30712318" TargetMode="External"/><Relationship Id="rId31" Type="http://schemas.openxmlformats.org/officeDocument/2006/relationships/hyperlink" Target="https://dataview.ncbi.nlm.nih.gov/object/SRR30712301" TargetMode="External"/><Relationship Id="rId52" Type="http://schemas.openxmlformats.org/officeDocument/2006/relationships/hyperlink" Target="https://dataview.ncbi.nlm.nih.gov/object/SRR30712274" TargetMode="External"/><Relationship Id="rId73" Type="http://schemas.openxmlformats.org/officeDocument/2006/relationships/hyperlink" Target="https://dataview.ncbi.nlm.nih.gov/object/SRR30712281" TargetMode="External"/><Relationship Id="rId78" Type="http://schemas.openxmlformats.org/officeDocument/2006/relationships/hyperlink" Target="https://dataview.ncbi.nlm.nih.gov/object/SRR30712268" TargetMode="External"/><Relationship Id="rId94" Type="http://schemas.openxmlformats.org/officeDocument/2006/relationships/hyperlink" Target="https://dataview.ncbi.nlm.nih.gov/object/SRR30712233" TargetMode="External"/><Relationship Id="rId99" Type="http://schemas.openxmlformats.org/officeDocument/2006/relationships/hyperlink" Target="https://dataview.ncbi.nlm.nih.gov/object/SRR30712219" TargetMode="External"/><Relationship Id="rId101" Type="http://schemas.openxmlformats.org/officeDocument/2006/relationships/hyperlink" Target="https://dataview.ncbi.nlm.nih.gov/object/SRR30712214" TargetMode="External"/><Relationship Id="rId122" Type="http://schemas.openxmlformats.org/officeDocument/2006/relationships/hyperlink" Target="https://dataview.ncbi.nlm.nih.gov/object/SRR30712215" TargetMode="External"/><Relationship Id="rId143" Type="http://schemas.openxmlformats.org/officeDocument/2006/relationships/hyperlink" Target="https://dataview.ncbi.nlm.nih.gov/object/SRR30712189" TargetMode="External"/><Relationship Id="rId148" Type="http://schemas.openxmlformats.org/officeDocument/2006/relationships/hyperlink" Target="https://dataview.ncbi.nlm.nih.gov/object/SRR30712182" TargetMode="External"/><Relationship Id="rId4" Type="http://schemas.openxmlformats.org/officeDocument/2006/relationships/hyperlink" Target="https://dataview.ncbi.nlm.nih.gov/object/SRR30712316" TargetMode="External"/><Relationship Id="rId9" Type="http://schemas.openxmlformats.org/officeDocument/2006/relationships/hyperlink" Target="https://dataview.ncbi.nlm.nih.gov/object/SRR30712321" TargetMode="External"/><Relationship Id="rId26" Type="http://schemas.openxmlformats.org/officeDocument/2006/relationships/hyperlink" Target="https://dataview.ncbi.nlm.nih.gov/object/SRR30712292" TargetMode="External"/><Relationship Id="rId47" Type="http://schemas.openxmlformats.org/officeDocument/2006/relationships/hyperlink" Target="https://dataview.ncbi.nlm.nih.gov/object/SRR30712284" TargetMode="External"/><Relationship Id="rId68" Type="http://schemas.openxmlformats.org/officeDocument/2006/relationships/hyperlink" Target="https://dataview.ncbi.nlm.nih.gov/object/SRR30712250" TargetMode="External"/><Relationship Id="rId89" Type="http://schemas.openxmlformats.org/officeDocument/2006/relationships/hyperlink" Target="https://dataview.ncbi.nlm.nih.gov/object/SRR30712239" TargetMode="External"/><Relationship Id="rId112" Type="http://schemas.openxmlformats.org/officeDocument/2006/relationships/hyperlink" Target="https://dataview.ncbi.nlm.nih.gov/object/SRR30712220" TargetMode="External"/><Relationship Id="rId133" Type="http://schemas.openxmlformats.org/officeDocument/2006/relationships/hyperlink" Target="https://dataview.ncbi.nlm.nih.gov/object/SRR30712197" TargetMode="External"/><Relationship Id="rId154" Type="http://schemas.openxmlformats.org/officeDocument/2006/relationships/hyperlink" Target="https://dataview.ncbi.nlm.nih.gov/object/SRR30712202" TargetMode="External"/><Relationship Id="rId16" Type="http://schemas.openxmlformats.org/officeDocument/2006/relationships/hyperlink" Target="https://dataview.ncbi.nlm.nih.gov/object/SRR30712330" TargetMode="External"/><Relationship Id="rId37" Type="http://schemas.openxmlformats.org/officeDocument/2006/relationships/hyperlink" Target="https://dataview.ncbi.nlm.nih.gov/object/SRR30712311" TargetMode="External"/><Relationship Id="rId58" Type="http://schemas.openxmlformats.org/officeDocument/2006/relationships/hyperlink" Target="https://dataview.ncbi.nlm.nih.gov/object/SRR30712273" TargetMode="External"/><Relationship Id="rId79" Type="http://schemas.openxmlformats.org/officeDocument/2006/relationships/hyperlink" Target="https://dataview.ncbi.nlm.nih.gov/object/SRR30712282" TargetMode="External"/><Relationship Id="rId102" Type="http://schemas.openxmlformats.org/officeDocument/2006/relationships/hyperlink" Target="https://dataview.ncbi.nlm.nih.gov/object/SRR30712214" TargetMode="External"/><Relationship Id="rId123" Type="http://schemas.openxmlformats.org/officeDocument/2006/relationships/hyperlink" Target="https://dataview.ncbi.nlm.nih.gov/object/SRR30712212" TargetMode="External"/><Relationship Id="rId144" Type="http://schemas.openxmlformats.org/officeDocument/2006/relationships/hyperlink" Target="https://dataview.ncbi.nlm.nih.gov/object/SRR30712180" TargetMode="External"/><Relationship Id="rId90" Type="http://schemas.openxmlformats.org/officeDocument/2006/relationships/hyperlink" Target="https://dataview.ncbi.nlm.nih.gov/object/SRR3071224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view.ncbi.nlm.nih.gov/object/SRR30712229" TargetMode="External"/><Relationship Id="rId21" Type="http://schemas.openxmlformats.org/officeDocument/2006/relationships/hyperlink" Target="https://dataview.ncbi.nlm.nih.gov/object/SRR30712289" TargetMode="External"/><Relationship Id="rId42" Type="http://schemas.openxmlformats.org/officeDocument/2006/relationships/hyperlink" Target="https://dataview.ncbi.nlm.nih.gov/object/SRR30712298" TargetMode="External"/><Relationship Id="rId63" Type="http://schemas.openxmlformats.org/officeDocument/2006/relationships/hyperlink" Target="https://dataview.ncbi.nlm.nih.gov/object/SRR30712251" TargetMode="External"/><Relationship Id="rId84" Type="http://schemas.openxmlformats.org/officeDocument/2006/relationships/hyperlink" Target="https://dataview.ncbi.nlm.nih.gov/object/SRR30712260" TargetMode="External"/><Relationship Id="rId138" Type="http://schemas.openxmlformats.org/officeDocument/2006/relationships/hyperlink" Target="https://dataview.ncbi.nlm.nih.gov/object/SRR30712191" TargetMode="External"/><Relationship Id="rId107" Type="http://schemas.openxmlformats.org/officeDocument/2006/relationships/hyperlink" Target="https://dataview.ncbi.nlm.nih.gov/object/SRR30712224" TargetMode="External"/><Relationship Id="rId11" Type="http://schemas.openxmlformats.org/officeDocument/2006/relationships/hyperlink" Target="https://dataview.ncbi.nlm.nih.gov/object/SRR30712327" TargetMode="External"/><Relationship Id="rId32" Type="http://schemas.openxmlformats.org/officeDocument/2006/relationships/hyperlink" Target="https://dataview.ncbi.nlm.nih.gov/object/SRR30712302" TargetMode="External"/><Relationship Id="rId53" Type="http://schemas.openxmlformats.org/officeDocument/2006/relationships/hyperlink" Target="https://dataview.ncbi.nlm.nih.gov/object/SRR30712270" TargetMode="External"/><Relationship Id="rId74" Type="http://schemas.openxmlformats.org/officeDocument/2006/relationships/hyperlink" Target="https://dataview.ncbi.nlm.nih.gov/object/SRR30712272" TargetMode="External"/><Relationship Id="rId128" Type="http://schemas.openxmlformats.org/officeDocument/2006/relationships/hyperlink" Target="https://dataview.ncbi.nlm.nih.gov/object/SRR30712198" TargetMode="External"/><Relationship Id="rId149" Type="http://schemas.openxmlformats.org/officeDocument/2006/relationships/hyperlink" Target="https://dataview.ncbi.nlm.nih.gov/object/SRR30712184" TargetMode="External"/><Relationship Id="rId5" Type="http://schemas.openxmlformats.org/officeDocument/2006/relationships/hyperlink" Target="https://dataview.ncbi.nlm.nih.gov/object/SRR30712320" TargetMode="External"/><Relationship Id="rId95" Type="http://schemas.openxmlformats.org/officeDocument/2006/relationships/hyperlink" Target="https://dataview.ncbi.nlm.nih.gov/object/SRR30712238" TargetMode="External"/><Relationship Id="rId22" Type="http://schemas.openxmlformats.org/officeDocument/2006/relationships/hyperlink" Target="https://dataview.ncbi.nlm.nih.gov/object/SRR30712295" TargetMode="External"/><Relationship Id="rId27" Type="http://schemas.openxmlformats.org/officeDocument/2006/relationships/hyperlink" Target="https://dataview.ncbi.nlm.nih.gov/object/SRR30712290" TargetMode="External"/><Relationship Id="rId43" Type="http://schemas.openxmlformats.org/officeDocument/2006/relationships/hyperlink" Target="https://dataview.ncbi.nlm.nih.gov/object/SRR30712285" TargetMode="External"/><Relationship Id="rId48" Type="http://schemas.openxmlformats.org/officeDocument/2006/relationships/hyperlink" Target="https://dataview.ncbi.nlm.nih.gov/object/SRR30712286" TargetMode="External"/><Relationship Id="rId64" Type="http://schemas.openxmlformats.org/officeDocument/2006/relationships/hyperlink" Target="https://dataview.ncbi.nlm.nih.gov/object/SRR30712257" TargetMode="External"/><Relationship Id="rId69" Type="http://schemas.openxmlformats.org/officeDocument/2006/relationships/hyperlink" Target="https://dataview.ncbi.nlm.nih.gov/object/SRR30712262" TargetMode="External"/><Relationship Id="rId113" Type="http://schemas.openxmlformats.org/officeDocument/2006/relationships/hyperlink" Target="https://dataview.ncbi.nlm.nih.gov/object/SRR30712225" TargetMode="External"/><Relationship Id="rId118" Type="http://schemas.openxmlformats.org/officeDocument/2006/relationships/hyperlink" Target="https://dataview.ncbi.nlm.nih.gov/object/SRR30712232" TargetMode="External"/><Relationship Id="rId134" Type="http://schemas.openxmlformats.org/officeDocument/2006/relationships/hyperlink" Target="https://dataview.ncbi.nlm.nih.gov/object/SRR30712190" TargetMode="External"/><Relationship Id="rId139" Type="http://schemas.openxmlformats.org/officeDocument/2006/relationships/hyperlink" Target="https://dataview.ncbi.nlm.nih.gov/object/SRR30712200" TargetMode="External"/><Relationship Id="rId80" Type="http://schemas.openxmlformats.org/officeDocument/2006/relationships/hyperlink" Target="https://dataview.ncbi.nlm.nih.gov/object/SRR30712276" TargetMode="External"/><Relationship Id="rId85" Type="http://schemas.openxmlformats.org/officeDocument/2006/relationships/hyperlink" Target="https://dataview.ncbi.nlm.nih.gov/object/SRR30712237" TargetMode="External"/><Relationship Id="rId150" Type="http://schemas.openxmlformats.org/officeDocument/2006/relationships/hyperlink" Target="https://dataview.ncbi.nlm.nih.gov/object/SRR30712185" TargetMode="External"/><Relationship Id="rId155" Type="http://schemas.openxmlformats.org/officeDocument/2006/relationships/hyperlink" Target="https://dataview.ncbi.nlm.nih.gov/object/SRR30712240" TargetMode="External"/><Relationship Id="rId12" Type="http://schemas.openxmlformats.org/officeDocument/2006/relationships/hyperlink" Target="https://dataview.ncbi.nlm.nih.gov/object/SRR30712324" TargetMode="External"/><Relationship Id="rId17" Type="http://schemas.openxmlformats.org/officeDocument/2006/relationships/hyperlink" Target="https://dataview.ncbi.nlm.nih.gov/object/SRR30712308" TargetMode="External"/><Relationship Id="rId33" Type="http://schemas.openxmlformats.org/officeDocument/2006/relationships/hyperlink" Target="https://dataview.ncbi.nlm.nih.gov/object/SRR30712303" TargetMode="External"/><Relationship Id="rId38" Type="http://schemas.openxmlformats.org/officeDocument/2006/relationships/hyperlink" Target="https://dataview.ncbi.nlm.nih.gov/object/SRR30712310" TargetMode="External"/><Relationship Id="rId59" Type="http://schemas.openxmlformats.org/officeDocument/2006/relationships/hyperlink" Target="https://dataview.ncbi.nlm.nih.gov/object/SRR30712271" TargetMode="External"/><Relationship Id="rId103" Type="http://schemas.openxmlformats.org/officeDocument/2006/relationships/hyperlink" Target="https://dataview.ncbi.nlm.nih.gov/object/SRR30712206" TargetMode="External"/><Relationship Id="rId108" Type="http://schemas.openxmlformats.org/officeDocument/2006/relationships/hyperlink" Target="https://dataview.ncbi.nlm.nih.gov/object/SRR30712230" TargetMode="External"/><Relationship Id="rId124" Type="http://schemas.openxmlformats.org/officeDocument/2006/relationships/hyperlink" Target="https://dataview.ncbi.nlm.nih.gov/object/SRR30712213" TargetMode="External"/><Relationship Id="rId129" Type="http://schemas.openxmlformats.org/officeDocument/2006/relationships/hyperlink" Target="https://dataview.ncbi.nlm.nih.gov/object/SRR30712195" TargetMode="External"/><Relationship Id="rId54" Type="http://schemas.openxmlformats.org/officeDocument/2006/relationships/hyperlink" Target="https://dataview.ncbi.nlm.nih.gov/object/SRR30712280" TargetMode="External"/><Relationship Id="rId70" Type="http://schemas.openxmlformats.org/officeDocument/2006/relationships/hyperlink" Target="https://dataview.ncbi.nlm.nih.gov/object/SRR30712248" TargetMode="External"/><Relationship Id="rId75" Type="http://schemas.openxmlformats.org/officeDocument/2006/relationships/hyperlink" Target="https://dataview.ncbi.nlm.nih.gov/object/SRR30712279" TargetMode="External"/><Relationship Id="rId91" Type="http://schemas.openxmlformats.org/officeDocument/2006/relationships/hyperlink" Target="https://dataview.ncbi.nlm.nih.gov/object/SRR30712247" TargetMode="External"/><Relationship Id="rId96" Type="http://schemas.openxmlformats.org/officeDocument/2006/relationships/hyperlink" Target="https://dataview.ncbi.nlm.nih.gov/object/SRR30712235" TargetMode="External"/><Relationship Id="rId140" Type="http://schemas.openxmlformats.org/officeDocument/2006/relationships/hyperlink" Target="https://dataview.ncbi.nlm.nih.gov/object/SRR30712187" TargetMode="External"/><Relationship Id="rId145" Type="http://schemas.openxmlformats.org/officeDocument/2006/relationships/hyperlink" Target="https://dataview.ncbi.nlm.nih.gov/object/SRR30712183" TargetMode="External"/><Relationship Id="rId1" Type="http://schemas.openxmlformats.org/officeDocument/2006/relationships/hyperlink" Target="https://dataview.ncbi.nlm.nih.gov/object/SRR30712328" TargetMode="External"/><Relationship Id="rId6" Type="http://schemas.openxmlformats.org/officeDocument/2006/relationships/hyperlink" Target="https://dataview.ncbi.nlm.nih.gov/object/SRR30712323" TargetMode="External"/><Relationship Id="rId23" Type="http://schemas.openxmlformats.org/officeDocument/2006/relationships/hyperlink" Target="https://dataview.ncbi.nlm.nih.gov/object/SRR30712291" TargetMode="External"/><Relationship Id="rId28" Type="http://schemas.openxmlformats.org/officeDocument/2006/relationships/hyperlink" Target="https://dataview.ncbi.nlm.nih.gov/object/SRR30712313" TargetMode="External"/><Relationship Id="rId49" Type="http://schemas.openxmlformats.org/officeDocument/2006/relationships/hyperlink" Target="https://dataview.ncbi.nlm.nih.gov/object/SRR30712275" TargetMode="External"/><Relationship Id="rId114" Type="http://schemas.openxmlformats.org/officeDocument/2006/relationships/hyperlink" Target="https://dataview.ncbi.nlm.nih.gov/object/SRR30712218" TargetMode="External"/><Relationship Id="rId119" Type="http://schemas.openxmlformats.org/officeDocument/2006/relationships/hyperlink" Target="https://dataview.ncbi.nlm.nih.gov/object/SRR30712222" TargetMode="External"/><Relationship Id="rId44" Type="http://schemas.openxmlformats.org/officeDocument/2006/relationships/hyperlink" Target="https://dataview.ncbi.nlm.nih.gov/object/SRR30712297" TargetMode="External"/><Relationship Id="rId60" Type="http://schemas.openxmlformats.org/officeDocument/2006/relationships/hyperlink" Target="https://dataview.ncbi.nlm.nih.gov/object/SRR30712269" TargetMode="External"/><Relationship Id="rId65" Type="http://schemas.openxmlformats.org/officeDocument/2006/relationships/hyperlink" Target="https://dataview.ncbi.nlm.nih.gov/object/SRR30712258" TargetMode="External"/><Relationship Id="rId81" Type="http://schemas.openxmlformats.org/officeDocument/2006/relationships/hyperlink" Target="https://dataview.ncbi.nlm.nih.gov/object/SRR30712276" TargetMode="External"/><Relationship Id="rId86" Type="http://schemas.openxmlformats.org/officeDocument/2006/relationships/hyperlink" Target="https://dataview.ncbi.nlm.nih.gov/object/SRR30712244" TargetMode="External"/><Relationship Id="rId130" Type="http://schemas.openxmlformats.org/officeDocument/2006/relationships/hyperlink" Target="https://dataview.ncbi.nlm.nih.gov/object/SRR30712192" TargetMode="External"/><Relationship Id="rId135" Type="http://schemas.openxmlformats.org/officeDocument/2006/relationships/hyperlink" Target="https://dataview.ncbi.nlm.nih.gov/object/SRR30712194" TargetMode="External"/><Relationship Id="rId151" Type="http://schemas.openxmlformats.org/officeDocument/2006/relationships/hyperlink" Target="https://dataview.ncbi.nlm.nih.gov/object/SRR30712177" TargetMode="External"/><Relationship Id="rId156" Type="http://schemas.openxmlformats.org/officeDocument/2006/relationships/table" Target="../tables/table2.xml"/><Relationship Id="rId13" Type="http://schemas.openxmlformats.org/officeDocument/2006/relationships/hyperlink" Target="https://dataview.ncbi.nlm.nih.gov/object/SRR30712331" TargetMode="External"/><Relationship Id="rId18" Type="http://schemas.openxmlformats.org/officeDocument/2006/relationships/hyperlink" Target="https://dataview.ncbi.nlm.nih.gov/object/SRR30712314" TargetMode="External"/><Relationship Id="rId39" Type="http://schemas.openxmlformats.org/officeDocument/2006/relationships/hyperlink" Target="https://dataview.ncbi.nlm.nih.gov/object/SRR30712300" TargetMode="External"/><Relationship Id="rId109" Type="http://schemas.openxmlformats.org/officeDocument/2006/relationships/hyperlink" Target="https://dataview.ncbi.nlm.nih.gov/object/SRR30712223" TargetMode="External"/><Relationship Id="rId34" Type="http://schemas.openxmlformats.org/officeDocument/2006/relationships/hyperlink" Target="https://dataview.ncbi.nlm.nih.gov/object/SRR30712307" TargetMode="External"/><Relationship Id="rId50" Type="http://schemas.openxmlformats.org/officeDocument/2006/relationships/hyperlink" Target="https://dataview.ncbi.nlm.nih.gov/object/SRR30712264" TargetMode="External"/><Relationship Id="rId55" Type="http://schemas.openxmlformats.org/officeDocument/2006/relationships/hyperlink" Target="https://dataview.ncbi.nlm.nih.gov/object/SRR30712278" TargetMode="External"/><Relationship Id="rId76" Type="http://schemas.openxmlformats.org/officeDocument/2006/relationships/hyperlink" Target="https://dataview.ncbi.nlm.nih.gov/object/SRR30712265" TargetMode="External"/><Relationship Id="rId97" Type="http://schemas.openxmlformats.org/officeDocument/2006/relationships/hyperlink" Target="https://dataview.ncbi.nlm.nih.gov/object/SRR30712243" TargetMode="External"/><Relationship Id="rId104" Type="http://schemas.openxmlformats.org/officeDocument/2006/relationships/hyperlink" Target="https://dataview.ncbi.nlm.nih.gov/object/SRR30712205" TargetMode="External"/><Relationship Id="rId120" Type="http://schemas.openxmlformats.org/officeDocument/2006/relationships/hyperlink" Target="https://dataview.ncbi.nlm.nih.gov/object/SRR30712209" TargetMode="External"/><Relationship Id="rId125" Type="http://schemas.openxmlformats.org/officeDocument/2006/relationships/hyperlink" Target="https://dataview.ncbi.nlm.nih.gov/object/SRR30712210" TargetMode="External"/><Relationship Id="rId141" Type="http://schemas.openxmlformats.org/officeDocument/2006/relationships/hyperlink" Target="https://dataview.ncbi.nlm.nih.gov/object/SRR30712181" TargetMode="External"/><Relationship Id="rId146" Type="http://schemas.openxmlformats.org/officeDocument/2006/relationships/hyperlink" Target="https://dataview.ncbi.nlm.nih.gov/object/SRR30712186" TargetMode="External"/><Relationship Id="rId7" Type="http://schemas.openxmlformats.org/officeDocument/2006/relationships/hyperlink" Target="https://dataview.ncbi.nlm.nih.gov/object/SRR30712326" TargetMode="External"/><Relationship Id="rId71" Type="http://schemas.openxmlformats.org/officeDocument/2006/relationships/hyperlink" Target="https://dataview.ncbi.nlm.nih.gov/object/SRR30712255" TargetMode="External"/><Relationship Id="rId92" Type="http://schemas.openxmlformats.org/officeDocument/2006/relationships/hyperlink" Target="https://dataview.ncbi.nlm.nih.gov/object/SRR30712242" TargetMode="External"/><Relationship Id="rId2" Type="http://schemas.openxmlformats.org/officeDocument/2006/relationships/hyperlink" Target="https://dataview.ncbi.nlm.nih.gov/object/SRR30712319" TargetMode="External"/><Relationship Id="rId29" Type="http://schemas.openxmlformats.org/officeDocument/2006/relationships/hyperlink" Target="https://dataview.ncbi.nlm.nih.gov/object/SRR30712305" TargetMode="External"/><Relationship Id="rId24" Type="http://schemas.openxmlformats.org/officeDocument/2006/relationships/hyperlink" Target="https://dataview.ncbi.nlm.nih.gov/object/SRR30712293" TargetMode="External"/><Relationship Id="rId40" Type="http://schemas.openxmlformats.org/officeDocument/2006/relationships/hyperlink" Target="https://dataview.ncbi.nlm.nih.gov/object/SRR30712309" TargetMode="External"/><Relationship Id="rId45" Type="http://schemas.openxmlformats.org/officeDocument/2006/relationships/hyperlink" Target="https://dataview.ncbi.nlm.nih.gov/object/SRR30712288" TargetMode="External"/><Relationship Id="rId66" Type="http://schemas.openxmlformats.org/officeDocument/2006/relationships/hyperlink" Target="https://dataview.ncbi.nlm.nih.gov/object/SRR30712259" TargetMode="External"/><Relationship Id="rId87" Type="http://schemas.openxmlformats.org/officeDocument/2006/relationships/hyperlink" Target="https://dataview.ncbi.nlm.nih.gov/object/SRR30712246" TargetMode="External"/><Relationship Id="rId110" Type="http://schemas.openxmlformats.org/officeDocument/2006/relationships/hyperlink" Target="https://dataview.ncbi.nlm.nih.gov/object/SRR30712231" TargetMode="External"/><Relationship Id="rId115" Type="http://schemas.openxmlformats.org/officeDocument/2006/relationships/hyperlink" Target="https://dataview.ncbi.nlm.nih.gov/object/SRR30712227" TargetMode="External"/><Relationship Id="rId131" Type="http://schemas.openxmlformats.org/officeDocument/2006/relationships/hyperlink" Target="https://dataview.ncbi.nlm.nih.gov/object/SRR30712199" TargetMode="External"/><Relationship Id="rId136" Type="http://schemas.openxmlformats.org/officeDocument/2006/relationships/hyperlink" Target="https://dataview.ncbi.nlm.nih.gov/object/SRR30712204" TargetMode="External"/><Relationship Id="rId61" Type="http://schemas.openxmlformats.org/officeDocument/2006/relationships/hyperlink" Target="https://dataview.ncbi.nlm.nih.gov/object/SRR30712256" TargetMode="External"/><Relationship Id="rId82" Type="http://schemas.openxmlformats.org/officeDocument/2006/relationships/hyperlink" Target="https://dataview.ncbi.nlm.nih.gov/object/SRR30712261" TargetMode="External"/><Relationship Id="rId152" Type="http://schemas.openxmlformats.org/officeDocument/2006/relationships/hyperlink" Target="https://dataview.ncbi.nlm.nih.gov/object/SRR30712188" TargetMode="External"/><Relationship Id="rId19" Type="http://schemas.openxmlformats.org/officeDocument/2006/relationships/hyperlink" Target="https://dataview.ncbi.nlm.nih.gov/object/SRR30712299" TargetMode="External"/><Relationship Id="rId14" Type="http://schemas.openxmlformats.org/officeDocument/2006/relationships/hyperlink" Target="https://dataview.ncbi.nlm.nih.gov/object/SRR30712322" TargetMode="External"/><Relationship Id="rId30" Type="http://schemas.openxmlformats.org/officeDocument/2006/relationships/hyperlink" Target="https://dataview.ncbi.nlm.nih.gov/object/SRR30712312" TargetMode="External"/><Relationship Id="rId35" Type="http://schemas.openxmlformats.org/officeDocument/2006/relationships/hyperlink" Target="https://dataview.ncbi.nlm.nih.gov/object/SRR30712306" TargetMode="External"/><Relationship Id="rId56" Type="http://schemas.openxmlformats.org/officeDocument/2006/relationships/hyperlink" Target="https://dataview.ncbi.nlm.nih.gov/object/SRR30712266" TargetMode="External"/><Relationship Id="rId77" Type="http://schemas.openxmlformats.org/officeDocument/2006/relationships/hyperlink" Target="https://dataview.ncbi.nlm.nih.gov/object/SRR30712283" TargetMode="External"/><Relationship Id="rId100" Type="http://schemas.openxmlformats.org/officeDocument/2006/relationships/hyperlink" Target="https://dataview.ncbi.nlm.nih.gov/object/SRR30712208" TargetMode="External"/><Relationship Id="rId105" Type="http://schemas.openxmlformats.org/officeDocument/2006/relationships/hyperlink" Target="https://dataview.ncbi.nlm.nih.gov/object/SRR30712226" TargetMode="External"/><Relationship Id="rId126" Type="http://schemas.openxmlformats.org/officeDocument/2006/relationships/hyperlink" Target="https://dataview.ncbi.nlm.nih.gov/object/SRR30712216" TargetMode="External"/><Relationship Id="rId147" Type="http://schemas.openxmlformats.org/officeDocument/2006/relationships/hyperlink" Target="https://dataview.ncbi.nlm.nih.gov/object/SRR30712179" TargetMode="External"/><Relationship Id="rId8" Type="http://schemas.openxmlformats.org/officeDocument/2006/relationships/hyperlink" Target="https://dataview.ncbi.nlm.nih.gov/object/SRR30712317" TargetMode="External"/><Relationship Id="rId51" Type="http://schemas.openxmlformats.org/officeDocument/2006/relationships/hyperlink" Target="https://dataview.ncbi.nlm.nih.gov/object/SRR30712267" TargetMode="External"/><Relationship Id="rId72" Type="http://schemas.openxmlformats.org/officeDocument/2006/relationships/hyperlink" Target="https://dataview.ncbi.nlm.nih.gov/object/SRR30712254" TargetMode="External"/><Relationship Id="rId93" Type="http://schemas.openxmlformats.org/officeDocument/2006/relationships/hyperlink" Target="https://dataview.ncbi.nlm.nih.gov/object/SRR30712234" TargetMode="External"/><Relationship Id="rId98" Type="http://schemas.openxmlformats.org/officeDocument/2006/relationships/hyperlink" Target="https://dataview.ncbi.nlm.nih.gov/object/SRR30712243" TargetMode="External"/><Relationship Id="rId121" Type="http://schemas.openxmlformats.org/officeDocument/2006/relationships/hyperlink" Target="https://dataview.ncbi.nlm.nih.gov/object/SRR30712207" TargetMode="External"/><Relationship Id="rId142" Type="http://schemas.openxmlformats.org/officeDocument/2006/relationships/hyperlink" Target="https://dataview.ncbi.nlm.nih.gov/object/SRR30712178" TargetMode="External"/><Relationship Id="rId3" Type="http://schemas.openxmlformats.org/officeDocument/2006/relationships/hyperlink" Target="https://dataview.ncbi.nlm.nih.gov/object/SRR30712325" TargetMode="External"/><Relationship Id="rId25" Type="http://schemas.openxmlformats.org/officeDocument/2006/relationships/hyperlink" Target="https://dataview.ncbi.nlm.nih.gov/object/SRR30712296" TargetMode="External"/><Relationship Id="rId46" Type="http://schemas.openxmlformats.org/officeDocument/2006/relationships/hyperlink" Target="https://dataview.ncbi.nlm.nih.gov/object/SRR30712287" TargetMode="External"/><Relationship Id="rId67" Type="http://schemas.openxmlformats.org/officeDocument/2006/relationships/hyperlink" Target="https://dataview.ncbi.nlm.nih.gov/object/SRR30712253" TargetMode="External"/><Relationship Id="rId116" Type="http://schemas.openxmlformats.org/officeDocument/2006/relationships/hyperlink" Target="https://dataview.ncbi.nlm.nih.gov/object/SRR30712228" TargetMode="External"/><Relationship Id="rId137" Type="http://schemas.openxmlformats.org/officeDocument/2006/relationships/hyperlink" Target="https://dataview.ncbi.nlm.nih.gov/object/SRR30712201" TargetMode="External"/><Relationship Id="rId20" Type="http://schemas.openxmlformats.org/officeDocument/2006/relationships/hyperlink" Target="https://dataview.ncbi.nlm.nih.gov/object/SRR30712315" TargetMode="External"/><Relationship Id="rId41" Type="http://schemas.openxmlformats.org/officeDocument/2006/relationships/hyperlink" Target="https://dataview.ncbi.nlm.nih.gov/object/SRR30712294" TargetMode="External"/><Relationship Id="rId62" Type="http://schemas.openxmlformats.org/officeDocument/2006/relationships/hyperlink" Target="https://dataview.ncbi.nlm.nih.gov/object/SRR30712252" TargetMode="External"/><Relationship Id="rId83" Type="http://schemas.openxmlformats.org/officeDocument/2006/relationships/hyperlink" Target="https://dataview.ncbi.nlm.nih.gov/object/SRR30712263" TargetMode="External"/><Relationship Id="rId88" Type="http://schemas.openxmlformats.org/officeDocument/2006/relationships/hyperlink" Target="https://dataview.ncbi.nlm.nih.gov/object/SRR30712241" TargetMode="External"/><Relationship Id="rId111" Type="http://schemas.openxmlformats.org/officeDocument/2006/relationships/hyperlink" Target="https://dataview.ncbi.nlm.nih.gov/object/SRR30712217" TargetMode="External"/><Relationship Id="rId132" Type="http://schemas.openxmlformats.org/officeDocument/2006/relationships/hyperlink" Target="https://dataview.ncbi.nlm.nih.gov/object/SRR30712196" TargetMode="External"/><Relationship Id="rId153" Type="http://schemas.openxmlformats.org/officeDocument/2006/relationships/hyperlink" Target="https://dataview.ncbi.nlm.nih.gov/object/SRR30712203" TargetMode="External"/><Relationship Id="rId15" Type="http://schemas.openxmlformats.org/officeDocument/2006/relationships/hyperlink" Target="https://dataview.ncbi.nlm.nih.gov/object/SRR30712329" TargetMode="External"/><Relationship Id="rId36" Type="http://schemas.openxmlformats.org/officeDocument/2006/relationships/hyperlink" Target="https://dataview.ncbi.nlm.nih.gov/object/SRR30712304" TargetMode="External"/><Relationship Id="rId57" Type="http://schemas.openxmlformats.org/officeDocument/2006/relationships/hyperlink" Target="https://dataview.ncbi.nlm.nih.gov/object/SRR30712277" TargetMode="External"/><Relationship Id="rId106" Type="http://schemas.openxmlformats.org/officeDocument/2006/relationships/hyperlink" Target="https://dataview.ncbi.nlm.nih.gov/object/SRR30712221" TargetMode="External"/><Relationship Id="rId127" Type="http://schemas.openxmlformats.org/officeDocument/2006/relationships/hyperlink" Target="https://dataview.ncbi.nlm.nih.gov/object/SRR30712193" TargetMode="External"/><Relationship Id="rId10" Type="http://schemas.openxmlformats.org/officeDocument/2006/relationships/hyperlink" Target="https://dataview.ncbi.nlm.nih.gov/object/SRR30712318" TargetMode="External"/><Relationship Id="rId31" Type="http://schemas.openxmlformats.org/officeDocument/2006/relationships/hyperlink" Target="https://dataview.ncbi.nlm.nih.gov/object/SRR30712301" TargetMode="External"/><Relationship Id="rId52" Type="http://schemas.openxmlformats.org/officeDocument/2006/relationships/hyperlink" Target="https://dataview.ncbi.nlm.nih.gov/object/SRR30712274" TargetMode="External"/><Relationship Id="rId73" Type="http://schemas.openxmlformats.org/officeDocument/2006/relationships/hyperlink" Target="https://dataview.ncbi.nlm.nih.gov/object/SRR30712281" TargetMode="External"/><Relationship Id="rId78" Type="http://schemas.openxmlformats.org/officeDocument/2006/relationships/hyperlink" Target="https://dataview.ncbi.nlm.nih.gov/object/SRR30712268" TargetMode="External"/><Relationship Id="rId94" Type="http://schemas.openxmlformats.org/officeDocument/2006/relationships/hyperlink" Target="https://dataview.ncbi.nlm.nih.gov/object/SRR30712233" TargetMode="External"/><Relationship Id="rId99" Type="http://schemas.openxmlformats.org/officeDocument/2006/relationships/hyperlink" Target="https://dataview.ncbi.nlm.nih.gov/object/SRR30712219" TargetMode="External"/><Relationship Id="rId101" Type="http://schemas.openxmlformats.org/officeDocument/2006/relationships/hyperlink" Target="https://dataview.ncbi.nlm.nih.gov/object/SRR30712214" TargetMode="External"/><Relationship Id="rId122" Type="http://schemas.openxmlformats.org/officeDocument/2006/relationships/hyperlink" Target="https://dataview.ncbi.nlm.nih.gov/object/SRR30712215" TargetMode="External"/><Relationship Id="rId143" Type="http://schemas.openxmlformats.org/officeDocument/2006/relationships/hyperlink" Target="https://dataview.ncbi.nlm.nih.gov/object/SRR30712189" TargetMode="External"/><Relationship Id="rId148" Type="http://schemas.openxmlformats.org/officeDocument/2006/relationships/hyperlink" Target="https://dataview.ncbi.nlm.nih.gov/object/SRR30712182" TargetMode="External"/><Relationship Id="rId4" Type="http://schemas.openxmlformats.org/officeDocument/2006/relationships/hyperlink" Target="https://dataview.ncbi.nlm.nih.gov/object/SRR30712316" TargetMode="External"/><Relationship Id="rId9" Type="http://schemas.openxmlformats.org/officeDocument/2006/relationships/hyperlink" Target="https://dataview.ncbi.nlm.nih.gov/object/SRR30712321" TargetMode="External"/><Relationship Id="rId26" Type="http://schemas.openxmlformats.org/officeDocument/2006/relationships/hyperlink" Target="https://dataview.ncbi.nlm.nih.gov/object/SRR30712292" TargetMode="External"/><Relationship Id="rId47" Type="http://schemas.openxmlformats.org/officeDocument/2006/relationships/hyperlink" Target="https://dataview.ncbi.nlm.nih.gov/object/SRR30712284" TargetMode="External"/><Relationship Id="rId68" Type="http://schemas.openxmlformats.org/officeDocument/2006/relationships/hyperlink" Target="https://dataview.ncbi.nlm.nih.gov/object/SRR30712250" TargetMode="External"/><Relationship Id="rId89" Type="http://schemas.openxmlformats.org/officeDocument/2006/relationships/hyperlink" Target="https://dataview.ncbi.nlm.nih.gov/object/SRR30712239" TargetMode="External"/><Relationship Id="rId112" Type="http://schemas.openxmlformats.org/officeDocument/2006/relationships/hyperlink" Target="https://dataview.ncbi.nlm.nih.gov/object/SRR30712220" TargetMode="External"/><Relationship Id="rId133" Type="http://schemas.openxmlformats.org/officeDocument/2006/relationships/hyperlink" Target="https://dataview.ncbi.nlm.nih.gov/object/SRR30712197" TargetMode="External"/><Relationship Id="rId154" Type="http://schemas.openxmlformats.org/officeDocument/2006/relationships/hyperlink" Target="https://dataview.ncbi.nlm.nih.gov/object/SRR30712202" TargetMode="External"/><Relationship Id="rId16" Type="http://schemas.openxmlformats.org/officeDocument/2006/relationships/hyperlink" Target="https://dataview.ncbi.nlm.nih.gov/object/SRR30712330" TargetMode="External"/><Relationship Id="rId37" Type="http://schemas.openxmlformats.org/officeDocument/2006/relationships/hyperlink" Target="https://dataview.ncbi.nlm.nih.gov/object/SRR30712311" TargetMode="External"/><Relationship Id="rId58" Type="http://schemas.openxmlformats.org/officeDocument/2006/relationships/hyperlink" Target="https://dataview.ncbi.nlm.nih.gov/object/SRR30712273" TargetMode="External"/><Relationship Id="rId79" Type="http://schemas.openxmlformats.org/officeDocument/2006/relationships/hyperlink" Target="https://dataview.ncbi.nlm.nih.gov/object/SRR30712282" TargetMode="External"/><Relationship Id="rId102" Type="http://schemas.openxmlformats.org/officeDocument/2006/relationships/hyperlink" Target="https://dataview.ncbi.nlm.nih.gov/object/SRR30712214" TargetMode="External"/><Relationship Id="rId123" Type="http://schemas.openxmlformats.org/officeDocument/2006/relationships/hyperlink" Target="https://dataview.ncbi.nlm.nih.gov/object/SRR30712212" TargetMode="External"/><Relationship Id="rId144" Type="http://schemas.openxmlformats.org/officeDocument/2006/relationships/hyperlink" Target="https://dataview.ncbi.nlm.nih.gov/object/SRR30712180" TargetMode="External"/><Relationship Id="rId90" Type="http://schemas.openxmlformats.org/officeDocument/2006/relationships/hyperlink" Target="https://dataview.ncbi.nlm.nih.gov/object/SRR30712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9DF7-21AE-8D4D-B199-20D988D7F910}">
  <dimension ref="A1:AB156"/>
  <sheetViews>
    <sheetView tabSelected="1" topLeftCell="A125" zoomScale="130" zoomScaleNormal="130" workbookViewId="0">
      <pane xSplit="1" topLeftCell="H1" activePane="topRight" state="frozen"/>
      <selection pane="topRight" activeCell="Z131" sqref="Z131"/>
    </sheetView>
  </sheetViews>
  <sheetFormatPr baseColWidth="10" defaultRowHeight="16" x14ac:dyDescent="0.2"/>
  <cols>
    <col min="1" max="1" width="28.1640625" customWidth="1"/>
    <col min="2" max="2" width="17" customWidth="1"/>
    <col min="3" max="3" width="22.33203125" bestFit="1" customWidth="1"/>
    <col min="6" max="6" width="7.6640625" bestFit="1" customWidth="1"/>
    <col min="7" max="8" width="12.6640625" customWidth="1"/>
    <col min="9" max="9" width="8.5" hidden="1" customWidth="1"/>
    <col min="10" max="10" width="6.6640625" style="1" hidden="1" customWidth="1"/>
    <col min="11" max="11" width="14.1640625" hidden="1" customWidth="1"/>
    <col min="12" max="12" width="12.1640625" hidden="1" customWidth="1"/>
    <col min="13" max="13" width="13.83203125" hidden="1" customWidth="1"/>
    <col min="14" max="14" width="13.1640625" hidden="1" customWidth="1"/>
    <col min="15" max="15" width="14.83203125" customWidth="1"/>
    <col min="16" max="16" width="16" style="1" customWidth="1"/>
    <col min="17" max="19" width="12.1640625" style="1" customWidth="1"/>
    <col min="20" max="20" width="12" style="1" customWidth="1"/>
    <col min="21" max="21" width="14.1640625" bestFit="1" customWidth="1"/>
    <col min="22" max="24" width="10.33203125" bestFit="1" customWidth="1"/>
    <col min="25" max="25" width="10.1640625" bestFit="1" customWidth="1"/>
    <col min="26" max="27" width="10.1640625" customWidth="1"/>
  </cols>
  <sheetData>
    <row r="1" spans="1:28" s="22" customFormat="1" x14ac:dyDescent="0.2">
      <c r="A1" s="27" t="s">
        <v>0</v>
      </c>
      <c r="B1" s="27" t="s">
        <v>164</v>
      </c>
      <c r="C1" s="27" t="s">
        <v>165</v>
      </c>
      <c r="D1" s="27" t="s">
        <v>177</v>
      </c>
      <c r="E1" s="27" t="s">
        <v>1</v>
      </c>
      <c r="F1" s="27" t="s">
        <v>2</v>
      </c>
      <c r="G1" s="27" t="s">
        <v>3</v>
      </c>
      <c r="H1" s="28" t="s">
        <v>4</v>
      </c>
      <c r="I1" s="29" t="s">
        <v>188</v>
      </c>
      <c r="J1" s="27" t="s">
        <v>191</v>
      </c>
      <c r="K1" s="30" t="s">
        <v>5</v>
      </c>
      <c r="L1" s="31" t="s">
        <v>174</v>
      </c>
      <c r="M1" s="31" t="s">
        <v>175</v>
      </c>
      <c r="N1" s="31" t="s">
        <v>173</v>
      </c>
      <c r="O1" s="31" t="s">
        <v>176</v>
      </c>
      <c r="P1" s="31" t="s">
        <v>178</v>
      </c>
      <c r="Q1" s="31" t="s">
        <v>179</v>
      </c>
      <c r="R1" s="31" t="s">
        <v>180</v>
      </c>
      <c r="S1" s="31" t="s">
        <v>181</v>
      </c>
      <c r="T1" s="31" t="s">
        <v>182</v>
      </c>
      <c r="U1" s="31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300</v>
      </c>
      <c r="AA1" s="31" t="s">
        <v>301</v>
      </c>
      <c r="AB1" s="31" t="s">
        <v>192</v>
      </c>
    </row>
    <row r="2" spans="1:28" s="22" customFormat="1" x14ac:dyDescent="0.2">
      <c r="A2" s="12" t="s">
        <v>6</v>
      </c>
      <c r="B2" s="12" t="s">
        <v>166</v>
      </c>
      <c r="C2" s="12" t="s">
        <v>170</v>
      </c>
      <c r="D2" s="12" t="s">
        <v>7</v>
      </c>
      <c r="E2" s="12" t="s">
        <v>7</v>
      </c>
      <c r="F2" s="12" t="s">
        <v>8</v>
      </c>
      <c r="G2" s="14">
        <v>12.531148910522461</v>
      </c>
      <c r="H2" s="15">
        <v>12.840806007385254</v>
      </c>
      <c r="I2" s="16" t="s">
        <v>189</v>
      </c>
      <c r="J2" s="17">
        <v>13.835585594177246</v>
      </c>
      <c r="K2" s="18" t="s">
        <v>7</v>
      </c>
      <c r="L2" s="32" t="s">
        <v>7</v>
      </c>
      <c r="M2" s="32" t="s">
        <v>7</v>
      </c>
      <c r="N2" s="32" t="s">
        <v>7</v>
      </c>
      <c r="O2" s="32" t="s">
        <v>7</v>
      </c>
      <c r="P2" s="21">
        <f>SUM(Q2:T2)</f>
        <v>5</v>
      </c>
      <c r="Q2" s="33">
        <v>1</v>
      </c>
      <c r="R2" s="33">
        <v>1</v>
      </c>
      <c r="S2" s="33">
        <v>2</v>
      </c>
      <c r="T2" s="33">
        <v>1</v>
      </c>
      <c r="U2" s="21">
        <f>SUM(V2:Y2)</f>
        <v>5</v>
      </c>
      <c r="V2" s="33">
        <v>1</v>
      </c>
      <c r="W2" s="33">
        <v>1</v>
      </c>
      <c r="X2" s="33">
        <v>2</v>
      </c>
      <c r="Y2" s="33">
        <v>1</v>
      </c>
      <c r="Z2" s="33" t="s">
        <v>298</v>
      </c>
      <c r="AA2" s="33" t="s">
        <v>189</v>
      </c>
      <c r="AB2" s="22" t="s">
        <v>216</v>
      </c>
    </row>
    <row r="3" spans="1:28" s="22" customFormat="1" x14ac:dyDescent="0.2">
      <c r="A3" s="12" t="s">
        <v>9</v>
      </c>
      <c r="B3" s="12" t="s">
        <v>166</v>
      </c>
      <c r="C3" s="12" t="s">
        <v>170</v>
      </c>
      <c r="D3" s="12" t="s">
        <v>8</v>
      </c>
      <c r="E3" s="12" t="s">
        <v>10</v>
      </c>
      <c r="F3" s="12" t="s">
        <v>7</v>
      </c>
      <c r="G3" s="14">
        <v>30.012094497680664</v>
      </c>
      <c r="H3" s="15">
        <v>26.600799560546875</v>
      </c>
      <c r="I3" s="16" t="s">
        <v>190</v>
      </c>
      <c r="J3" s="17">
        <v>13.961712837219238</v>
      </c>
      <c r="K3" s="18" t="s">
        <v>7</v>
      </c>
      <c r="L3" s="32" t="s">
        <v>8</v>
      </c>
      <c r="M3" s="32" t="s">
        <v>10</v>
      </c>
      <c r="N3" s="32" t="s">
        <v>8</v>
      </c>
      <c r="O3" s="32" t="s">
        <v>10</v>
      </c>
      <c r="P3" s="21">
        <f>SUM(Q3:T3)</f>
        <v>0</v>
      </c>
      <c r="Q3" s="21">
        <v>0</v>
      </c>
      <c r="R3" s="21">
        <v>0</v>
      </c>
      <c r="S3" s="21">
        <v>0</v>
      </c>
      <c r="T3" s="21">
        <v>0</v>
      </c>
      <c r="U3" s="21">
        <f t="shared" ref="U3:U66" si="0">SUM(V3:Y3)</f>
        <v>2</v>
      </c>
      <c r="V3" s="21">
        <v>0</v>
      </c>
      <c r="W3" s="21">
        <v>1</v>
      </c>
      <c r="X3" s="21">
        <v>1</v>
      </c>
      <c r="Y3" s="21">
        <v>0</v>
      </c>
      <c r="Z3" s="21" t="s">
        <v>299</v>
      </c>
      <c r="AA3" s="21" t="s">
        <v>10</v>
      </c>
    </row>
    <row r="4" spans="1:28" s="22" customFormat="1" x14ac:dyDescent="0.2">
      <c r="A4" s="12" t="s">
        <v>11</v>
      </c>
      <c r="B4" s="12" t="s">
        <v>166</v>
      </c>
      <c r="C4" s="12" t="s">
        <v>170</v>
      </c>
      <c r="D4" s="12" t="s">
        <v>8</v>
      </c>
      <c r="E4" s="12" t="s">
        <v>10</v>
      </c>
      <c r="F4" s="12" t="s">
        <v>7</v>
      </c>
      <c r="G4" s="14">
        <v>28.860658645629883</v>
      </c>
      <c r="H4" s="15">
        <v>27.157321929931641</v>
      </c>
      <c r="I4" s="16" t="s">
        <v>189</v>
      </c>
      <c r="J4" s="17">
        <v>18.287065505981445</v>
      </c>
      <c r="K4" s="18" t="s">
        <v>7</v>
      </c>
      <c r="L4" s="32" t="s">
        <v>8</v>
      </c>
      <c r="M4" s="32" t="s">
        <v>10</v>
      </c>
      <c r="N4" s="32" t="s">
        <v>8</v>
      </c>
      <c r="O4" s="32" t="s">
        <v>10</v>
      </c>
      <c r="P4" s="21">
        <f>SUM(Q4:T4)</f>
        <v>0</v>
      </c>
      <c r="Q4" s="21">
        <v>0</v>
      </c>
      <c r="R4" s="21">
        <v>0</v>
      </c>
      <c r="S4" s="21">
        <v>0</v>
      </c>
      <c r="T4" s="21">
        <v>0</v>
      </c>
      <c r="U4" s="21">
        <f t="shared" si="0"/>
        <v>0</v>
      </c>
      <c r="V4" s="21">
        <v>0</v>
      </c>
      <c r="W4" s="21">
        <v>0</v>
      </c>
      <c r="X4" s="21">
        <v>0</v>
      </c>
      <c r="Y4" s="21">
        <v>0</v>
      </c>
      <c r="Z4" s="21" t="s">
        <v>10</v>
      </c>
      <c r="AA4" s="21" t="s">
        <v>10</v>
      </c>
    </row>
    <row r="5" spans="1:28" s="22" customFormat="1" x14ac:dyDescent="0.2">
      <c r="A5" s="12" t="s">
        <v>12</v>
      </c>
      <c r="B5" s="12" t="s">
        <v>166</v>
      </c>
      <c r="C5" s="12" t="s">
        <v>170</v>
      </c>
      <c r="D5" s="12" t="s">
        <v>8</v>
      </c>
      <c r="E5" s="12" t="s">
        <v>10</v>
      </c>
      <c r="F5" s="12" t="s">
        <v>8</v>
      </c>
      <c r="G5" s="14">
        <v>32.619194030761719</v>
      </c>
      <c r="H5" s="15">
        <v>21.261640548706101</v>
      </c>
      <c r="I5" s="16" t="s">
        <v>190</v>
      </c>
      <c r="J5" s="17">
        <v>16.726154327392578</v>
      </c>
      <c r="K5" s="18" t="s">
        <v>8</v>
      </c>
      <c r="L5" s="32" t="s">
        <v>8</v>
      </c>
      <c r="M5" s="32" t="s">
        <v>10</v>
      </c>
      <c r="N5" s="32" t="s">
        <v>8</v>
      </c>
      <c r="O5" s="32" t="s">
        <v>10</v>
      </c>
      <c r="P5" s="21">
        <f>SUM(Q5:T5)</f>
        <v>0</v>
      </c>
      <c r="Q5" s="21">
        <v>0</v>
      </c>
      <c r="R5" s="21">
        <v>0</v>
      </c>
      <c r="S5" s="21">
        <v>0</v>
      </c>
      <c r="T5" s="21">
        <v>0</v>
      </c>
      <c r="U5" s="21">
        <f t="shared" si="0"/>
        <v>0</v>
      </c>
      <c r="V5" s="21">
        <v>0</v>
      </c>
      <c r="W5" s="21">
        <v>0</v>
      </c>
      <c r="X5" s="21">
        <v>0</v>
      </c>
      <c r="Y5" s="21">
        <v>0</v>
      </c>
      <c r="Z5" s="21" t="s">
        <v>10</v>
      </c>
      <c r="AA5" s="21" t="s">
        <v>10</v>
      </c>
    </row>
    <row r="6" spans="1:28" s="22" customFormat="1" x14ac:dyDescent="0.2">
      <c r="A6" s="12" t="s">
        <v>13</v>
      </c>
      <c r="B6" s="12" t="s">
        <v>166</v>
      </c>
      <c r="C6" s="12" t="s">
        <v>170</v>
      </c>
      <c r="D6" s="12" t="s">
        <v>7</v>
      </c>
      <c r="E6" s="12" t="s">
        <v>7</v>
      </c>
      <c r="F6" s="12" t="s">
        <v>8</v>
      </c>
      <c r="G6" s="14">
        <v>8.1039438247680664</v>
      </c>
      <c r="H6" s="15">
        <v>13.541867256164551</v>
      </c>
      <c r="I6" s="16" t="s">
        <v>189</v>
      </c>
      <c r="J6" s="17">
        <v>18.335382461547852</v>
      </c>
      <c r="K6" s="18" t="s">
        <v>7</v>
      </c>
      <c r="L6" s="32" t="s">
        <v>7</v>
      </c>
      <c r="M6" s="32" t="s">
        <v>7</v>
      </c>
      <c r="N6" s="32" t="s">
        <v>7</v>
      </c>
      <c r="O6" s="32" t="s">
        <v>7</v>
      </c>
      <c r="P6" s="21">
        <f>SUM(Q6:T6)</f>
        <v>4</v>
      </c>
      <c r="Q6" s="33">
        <v>1</v>
      </c>
      <c r="R6" s="21">
        <v>1</v>
      </c>
      <c r="S6" s="21">
        <v>1</v>
      </c>
      <c r="T6" s="33">
        <v>1</v>
      </c>
      <c r="U6" s="21">
        <f t="shared" si="0"/>
        <v>4</v>
      </c>
      <c r="V6" s="33">
        <v>1</v>
      </c>
      <c r="W6" s="21">
        <v>1</v>
      </c>
      <c r="X6" s="21">
        <v>1</v>
      </c>
      <c r="Y6" s="33">
        <v>1</v>
      </c>
      <c r="Z6" s="33" t="s">
        <v>299</v>
      </c>
      <c r="AA6" s="33" t="s">
        <v>189</v>
      </c>
      <c r="AB6" s="22" t="s">
        <v>217</v>
      </c>
    </row>
    <row r="7" spans="1:28" s="22" customFormat="1" ht="17" customHeight="1" x14ac:dyDescent="0.2">
      <c r="A7" s="12" t="s">
        <v>14</v>
      </c>
      <c r="B7" s="12" t="s">
        <v>166</v>
      </c>
      <c r="C7" s="12" t="s">
        <v>170</v>
      </c>
      <c r="D7" s="12" t="s">
        <v>8</v>
      </c>
      <c r="E7" s="12" t="s">
        <v>10</v>
      </c>
      <c r="F7" s="12" t="s">
        <v>8</v>
      </c>
      <c r="G7" s="14">
        <v>16.105279922485352</v>
      </c>
      <c r="H7" s="15">
        <v>30.9161987304687</v>
      </c>
      <c r="I7" s="16" t="s">
        <v>189</v>
      </c>
      <c r="J7" s="17">
        <v>15.884773254394531</v>
      </c>
      <c r="K7" s="18" t="s">
        <v>8</v>
      </c>
      <c r="L7" s="32" t="s">
        <v>8</v>
      </c>
      <c r="M7" s="32" t="s">
        <v>10</v>
      </c>
      <c r="N7" s="32" t="s">
        <v>8</v>
      </c>
      <c r="O7" s="32" t="s">
        <v>10</v>
      </c>
      <c r="P7" s="21">
        <f>SUM(Q7:T7)</f>
        <v>0</v>
      </c>
      <c r="Q7" s="21">
        <v>0</v>
      </c>
      <c r="R7" s="21">
        <v>0</v>
      </c>
      <c r="S7" s="21">
        <v>0</v>
      </c>
      <c r="T7" s="21">
        <v>0</v>
      </c>
      <c r="U7" s="21">
        <f t="shared" si="0"/>
        <v>0</v>
      </c>
      <c r="V7" s="21">
        <v>0</v>
      </c>
      <c r="W7" s="21">
        <v>0</v>
      </c>
      <c r="X7" s="21">
        <v>0</v>
      </c>
      <c r="Y7" s="21">
        <v>0</v>
      </c>
      <c r="Z7" s="21" t="s">
        <v>10</v>
      </c>
      <c r="AA7" s="21" t="s">
        <v>10</v>
      </c>
    </row>
    <row r="8" spans="1:28" s="22" customFormat="1" x14ac:dyDescent="0.2">
      <c r="A8" s="12" t="s">
        <v>15</v>
      </c>
      <c r="B8" s="12" t="s">
        <v>166</v>
      </c>
      <c r="C8" s="12" t="s">
        <v>170</v>
      </c>
      <c r="D8" s="12" t="s">
        <v>7</v>
      </c>
      <c r="E8" s="12" t="s">
        <v>7</v>
      </c>
      <c r="F8" s="12" t="s">
        <v>8</v>
      </c>
      <c r="G8" s="14">
        <v>29.116630554199219</v>
      </c>
      <c r="H8" s="15">
        <v>18.636808395385742</v>
      </c>
      <c r="I8" s="16" t="s">
        <v>189</v>
      </c>
      <c r="J8" s="17">
        <v>15.294843673706055</v>
      </c>
      <c r="K8" s="18" t="s">
        <v>7</v>
      </c>
      <c r="L8" s="32" t="s">
        <v>8</v>
      </c>
      <c r="M8" s="32" t="s">
        <v>10</v>
      </c>
      <c r="N8" s="32" t="s">
        <v>7</v>
      </c>
      <c r="O8" s="32" t="s">
        <v>7</v>
      </c>
      <c r="P8" s="21">
        <f>SUM(Q8:T8)</f>
        <v>3</v>
      </c>
      <c r="Q8" s="33">
        <v>1</v>
      </c>
      <c r="R8" s="21">
        <v>1</v>
      </c>
      <c r="S8" s="21">
        <v>1</v>
      </c>
      <c r="T8" s="21">
        <v>0</v>
      </c>
      <c r="U8" s="21">
        <f t="shared" si="0"/>
        <v>3</v>
      </c>
      <c r="V8" s="33">
        <v>1</v>
      </c>
      <c r="W8" s="21">
        <v>1</v>
      </c>
      <c r="X8" s="21">
        <v>1</v>
      </c>
      <c r="Y8" s="21">
        <v>0</v>
      </c>
      <c r="Z8" s="21" t="s">
        <v>299</v>
      </c>
      <c r="AA8" s="21" t="s">
        <v>190</v>
      </c>
      <c r="AB8" s="22" t="s">
        <v>218</v>
      </c>
    </row>
    <row r="9" spans="1:28" s="22" customFormat="1" x14ac:dyDescent="0.2">
      <c r="A9" s="12" t="s">
        <v>16</v>
      </c>
      <c r="B9" s="12" t="s">
        <v>166</v>
      </c>
      <c r="C9" s="12" t="s">
        <v>170</v>
      </c>
      <c r="D9" s="12" t="s">
        <v>7</v>
      </c>
      <c r="E9" s="12" t="s">
        <v>7</v>
      </c>
      <c r="F9" s="12" t="s">
        <v>8</v>
      </c>
      <c r="G9" s="14">
        <v>30.893093109130859</v>
      </c>
      <c r="H9" s="34">
        <v>19.651</v>
      </c>
      <c r="I9" s="35" t="s">
        <v>190</v>
      </c>
      <c r="J9" s="17">
        <v>18.129909515380859</v>
      </c>
      <c r="K9" s="18" t="s">
        <v>7</v>
      </c>
      <c r="L9" s="32" t="s">
        <v>8</v>
      </c>
      <c r="M9" s="32" t="s">
        <v>10</v>
      </c>
      <c r="N9" s="32" t="s">
        <v>7</v>
      </c>
      <c r="O9" s="32" t="s">
        <v>7</v>
      </c>
      <c r="P9" s="21">
        <f>SUM(Q9:T9)</f>
        <v>3</v>
      </c>
      <c r="Q9" s="33">
        <v>1</v>
      </c>
      <c r="R9" s="21">
        <v>1</v>
      </c>
      <c r="S9" s="21">
        <v>1</v>
      </c>
      <c r="T9" s="21">
        <v>0</v>
      </c>
      <c r="U9" s="21">
        <f t="shared" si="0"/>
        <v>3</v>
      </c>
      <c r="V9" s="33">
        <v>1</v>
      </c>
      <c r="W9" s="21">
        <v>1</v>
      </c>
      <c r="X9" s="21">
        <v>1</v>
      </c>
      <c r="Y9" s="21">
        <v>0</v>
      </c>
      <c r="Z9" s="21" t="s">
        <v>299</v>
      </c>
      <c r="AA9" s="21" t="s">
        <v>190</v>
      </c>
      <c r="AB9" s="22" t="s">
        <v>219</v>
      </c>
    </row>
    <row r="10" spans="1:28" s="22" customFormat="1" x14ac:dyDescent="0.2">
      <c r="A10" s="12" t="s">
        <v>17</v>
      </c>
      <c r="B10" s="12" t="s">
        <v>166</v>
      </c>
      <c r="C10" s="12" t="s">
        <v>170</v>
      </c>
      <c r="D10" s="12" t="s">
        <v>7</v>
      </c>
      <c r="E10" s="12" t="s">
        <v>7</v>
      </c>
      <c r="F10" s="12" t="s">
        <v>8</v>
      </c>
      <c r="G10" s="14">
        <v>18.048595428466797</v>
      </c>
      <c r="H10" s="15">
        <v>19.685928344726562</v>
      </c>
      <c r="I10" s="16" t="s">
        <v>189</v>
      </c>
      <c r="J10" s="17">
        <v>17.752546310424805</v>
      </c>
      <c r="K10" s="18" t="s">
        <v>7</v>
      </c>
      <c r="L10" s="32" t="s">
        <v>7</v>
      </c>
      <c r="M10" s="32" t="s">
        <v>7</v>
      </c>
      <c r="N10" s="21" t="s">
        <v>7</v>
      </c>
      <c r="O10" s="21" t="s">
        <v>7</v>
      </c>
      <c r="P10" s="21">
        <f>SUM(Q10:T10)</f>
        <v>4</v>
      </c>
      <c r="Q10" s="33">
        <v>1</v>
      </c>
      <c r="R10" s="21">
        <v>1</v>
      </c>
      <c r="S10" s="21">
        <v>1</v>
      </c>
      <c r="T10" s="33">
        <v>1</v>
      </c>
      <c r="U10" s="21">
        <f t="shared" si="0"/>
        <v>4</v>
      </c>
      <c r="V10" s="33">
        <v>1</v>
      </c>
      <c r="W10" s="21">
        <v>1</v>
      </c>
      <c r="X10" s="21">
        <v>1</v>
      </c>
      <c r="Y10" s="33">
        <v>1</v>
      </c>
      <c r="Z10" s="33" t="s">
        <v>299</v>
      </c>
      <c r="AA10" s="33" t="s">
        <v>189</v>
      </c>
      <c r="AB10" s="22" t="s">
        <v>220</v>
      </c>
    </row>
    <row r="11" spans="1:28" s="22" customFormat="1" x14ac:dyDescent="0.2">
      <c r="A11" s="12" t="s">
        <v>18</v>
      </c>
      <c r="B11" s="12" t="s">
        <v>166</v>
      </c>
      <c r="C11" s="12" t="s">
        <v>170</v>
      </c>
      <c r="D11" s="12" t="s">
        <v>8</v>
      </c>
      <c r="E11" s="12" t="s">
        <v>10</v>
      </c>
      <c r="F11" s="12" t="s">
        <v>7</v>
      </c>
      <c r="G11" s="14">
        <v>24.435403823852539</v>
      </c>
      <c r="H11" s="34">
        <v>28.116</v>
      </c>
      <c r="I11" s="35" t="s">
        <v>189</v>
      </c>
      <c r="J11" s="17">
        <v>16.950372695922852</v>
      </c>
      <c r="K11" s="18" t="s">
        <v>7</v>
      </c>
      <c r="L11" s="32" t="s">
        <v>8</v>
      </c>
      <c r="M11" s="32" t="s">
        <v>10</v>
      </c>
      <c r="N11" s="19" t="s">
        <v>8</v>
      </c>
      <c r="O11" s="20" t="s">
        <v>10</v>
      </c>
      <c r="P11" s="21">
        <f>SUM(Q11:T11)</f>
        <v>0</v>
      </c>
      <c r="Q11" s="21">
        <v>0</v>
      </c>
      <c r="R11" s="21">
        <v>0</v>
      </c>
      <c r="S11" s="21">
        <v>0</v>
      </c>
      <c r="T11" s="21">
        <v>0</v>
      </c>
      <c r="U11" s="21">
        <v>1</v>
      </c>
      <c r="V11" s="21">
        <v>0</v>
      </c>
      <c r="W11" s="21">
        <v>1</v>
      </c>
      <c r="X11" s="21">
        <v>0</v>
      </c>
      <c r="Y11" s="21">
        <v>0</v>
      </c>
      <c r="Z11" s="21" t="s">
        <v>299</v>
      </c>
      <c r="AA11" s="21" t="s">
        <v>10</v>
      </c>
    </row>
    <row r="12" spans="1:28" s="22" customFormat="1" x14ac:dyDescent="0.2">
      <c r="A12" s="12" t="s">
        <v>19</v>
      </c>
      <c r="B12" s="12" t="s">
        <v>166</v>
      </c>
      <c r="C12" s="12" t="s">
        <v>170</v>
      </c>
      <c r="D12" s="12" t="s">
        <v>7</v>
      </c>
      <c r="E12" s="12" t="s">
        <v>7</v>
      </c>
      <c r="F12" s="12" t="s">
        <v>8</v>
      </c>
      <c r="G12" s="12">
        <v>0</v>
      </c>
      <c r="H12" s="15">
        <v>23.514532089233398</v>
      </c>
      <c r="I12" s="16" t="s">
        <v>190</v>
      </c>
      <c r="J12" s="17">
        <v>18.877391815185547</v>
      </c>
      <c r="K12" s="18" t="s">
        <v>7</v>
      </c>
      <c r="L12" s="32" t="s">
        <v>8</v>
      </c>
      <c r="M12" s="32" t="s">
        <v>10</v>
      </c>
      <c r="N12" s="32" t="s">
        <v>7</v>
      </c>
      <c r="O12" s="32" t="s">
        <v>7</v>
      </c>
      <c r="P12" s="21">
        <f>SUM(Q12:T12)</f>
        <v>3</v>
      </c>
      <c r="Q12" s="33">
        <v>1</v>
      </c>
      <c r="R12" s="21">
        <v>1</v>
      </c>
      <c r="S12" s="21">
        <v>1</v>
      </c>
      <c r="T12" s="21">
        <v>0</v>
      </c>
      <c r="U12" s="21">
        <f t="shared" si="0"/>
        <v>3</v>
      </c>
      <c r="V12" s="33">
        <v>1</v>
      </c>
      <c r="W12" s="21">
        <v>1</v>
      </c>
      <c r="X12" s="21">
        <v>1</v>
      </c>
      <c r="Y12" s="21">
        <v>0</v>
      </c>
      <c r="Z12" s="21" t="s">
        <v>299</v>
      </c>
      <c r="AA12" s="21" t="s">
        <v>190</v>
      </c>
      <c r="AB12" s="22" t="s">
        <v>228</v>
      </c>
    </row>
    <row r="13" spans="1:28" s="22" customFormat="1" x14ac:dyDescent="0.2">
      <c r="A13" s="12" t="s">
        <v>20</v>
      </c>
      <c r="B13" s="12" t="s">
        <v>166</v>
      </c>
      <c r="C13" s="12" t="s">
        <v>170</v>
      </c>
      <c r="D13" s="12" t="s">
        <v>7</v>
      </c>
      <c r="E13" s="12" t="s">
        <v>7</v>
      </c>
      <c r="F13" s="12" t="s">
        <v>8</v>
      </c>
      <c r="G13" s="14">
        <v>19.89544677734375</v>
      </c>
      <c r="H13" s="15">
        <v>20.012363433837891</v>
      </c>
      <c r="I13" s="16" t="s">
        <v>189</v>
      </c>
      <c r="J13" s="17">
        <v>19.044429779052734</v>
      </c>
      <c r="K13" s="18" t="s">
        <v>7</v>
      </c>
      <c r="L13" s="32" t="s">
        <v>7</v>
      </c>
      <c r="M13" s="32" t="s">
        <v>7</v>
      </c>
      <c r="N13" s="32" t="s">
        <v>7</v>
      </c>
      <c r="O13" s="32" t="s">
        <v>7</v>
      </c>
      <c r="P13" s="21">
        <f>SUM(Q13:T13)</f>
        <v>4</v>
      </c>
      <c r="Q13" s="33">
        <v>1</v>
      </c>
      <c r="R13" s="21">
        <v>1</v>
      </c>
      <c r="S13" s="21">
        <v>1</v>
      </c>
      <c r="T13" s="21">
        <v>1</v>
      </c>
      <c r="U13" s="21">
        <f t="shared" si="0"/>
        <v>4</v>
      </c>
      <c r="V13" s="33">
        <v>1</v>
      </c>
      <c r="W13" s="21">
        <v>1</v>
      </c>
      <c r="X13" s="21">
        <v>1</v>
      </c>
      <c r="Y13" s="21">
        <v>1</v>
      </c>
      <c r="Z13" s="21" t="s">
        <v>299</v>
      </c>
      <c r="AA13" s="21" t="s">
        <v>189</v>
      </c>
      <c r="AB13" s="22" t="s">
        <v>227</v>
      </c>
    </row>
    <row r="14" spans="1:28" s="22" customFormat="1" x14ac:dyDescent="0.2">
      <c r="A14" s="12" t="s">
        <v>21</v>
      </c>
      <c r="B14" s="12" t="s">
        <v>166</v>
      </c>
      <c r="C14" s="12" t="s">
        <v>170</v>
      </c>
      <c r="D14" s="12" t="s">
        <v>7</v>
      </c>
      <c r="E14" s="12" t="s">
        <v>8</v>
      </c>
      <c r="F14" s="12" t="s">
        <v>7</v>
      </c>
      <c r="G14" s="14">
        <v>29.738790512084961</v>
      </c>
      <c r="H14" s="15">
        <v>30.207534790039062</v>
      </c>
      <c r="I14" s="16" t="s">
        <v>189</v>
      </c>
      <c r="J14" s="17">
        <v>18.921548843383789</v>
      </c>
      <c r="K14" s="18" t="s">
        <v>7</v>
      </c>
      <c r="L14" s="32" t="s">
        <v>8</v>
      </c>
      <c r="M14" s="32" t="s">
        <v>10</v>
      </c>
      <c r="N14" s="19" t="s">
        <v>7</v>
      </c>
      <c r="O14" s="20" t="s">
        <v>8</v>
      </c>
      <c r="P14" s="21">
        <f>SUM(Q14:T14)</f>
        <v>0</v>
      </c>
      <c r="Q14" s="21">
        <v>0</v>
      </c>
      <c r="R14" s="21">
        <v>0</v>
      </c>
      <c r="S14" s="21">
        <v>0</v>
      </c>
      <c r="T14" s="21">
        <v>0</v>
      </c>
      <c r="U14" s="21">
        <f t="shared" si="0"/>
        <v>2</v>
      </c>
      <c r="V14" s="33">
        <v>0</v>
      </c>
      <c r="W14" s="21">
        <v>1</v>
      </c>
      <c r="X14" s="21">
        <v>1</v>
      </c>
      <c r="Y14" s="21">
        <v>0</v>
      </c>
      <c r="Z14" s="21" t="s">
        <v>299</v>
      </c>
      <c r="AA14" s="21" t="s">
        <v>10</v>
      </c>
    </row>
    <row r="15" spans="1:28" s="22" customFormat="1" x14ac:dyDescent="0.2">
      <c r="A15" s="12" t="s">
        <v>22</v>
      </c>
      <c r="B15" s="12" t="s">
        <v>166</v>
      </c>
      <c r="C15" s="12" t="s">
        <v>170</v>
      </c>
      <c r="D15" s="12" t="s">
        <v>7</v>
      </c>
      <c r="E15" s="12" t="s">
        <v>8</v>
      </c>
      <c r="F15" s="12" t="s">
        <v>8</v>
      </c>
      <c r="G15" s="14">
        <v>11.918850898742676</v>
      </c>
      <c r="H15" s="36">
        <v>11.71</v>
      </c>
      <c r="I15" s="37" t="s">
        <v>189</v>
      </c>
      <c r="J15" s="17">
        <v>17.092691421508789</v>
      </c>
      <c r="K15" s="18" t="s">
        <v>8</v>
      </c>
      <c r="L15" s="32" t="s">
        <v>7</v>
      </c>
      <c r="M15" s="32" t="s">
        <v>7</v>
      </c>
      <c r="N15" s="19" t="s">
        <v>7</v>
      </c>
      <c r="O15" s="20" t="s">
        <v>7</v>
      </c>
      <c r="P15" s="21">
        <f>SUM(Q15:T15)</f>
        <v>4</v>
      </c>
      <c r="Q15" s="33">
        <v>1</v>
      </c>
      <c r="R15" s="21">
        <v>1</v>
      </c>
      <c r="S15" s="21">
        <v>1</v>
      </c>
      <c r="T15" s="33">
        <v>1</v>
      </c>
      <c r="U15" s="21">
        <f t="shared" si="0"/>
        <v>4</v>
      </c>
      <c r="V15" s="33">
        <v>1</v>
      </c>
      <c r="W15" s="21">
        <v>1</v>
      </c>
      <c r="X15" s="21">
        <v>1</v>
      </c>
      <c r="Y15" s="33">
        <v>1</v>
      </c>
      <c r="Z15" s="33" t="s">
        <v>299</v>
      </c>
      <c r="AA15" s="33" t="s">
        <v>189</v>
      </c>
      <c r="AB15" s="22" t="s">
        <v>223</v>
      </c>
    </row>
    <row r="16" spans="1:28" s="22" customFormat="1" x14ac:dyDescent="0.2">
      <c r="A16" s="12" t="s">
        <v>23</v>
      </c>
      <c r="B16" s="12" t="s">
        <v>166</v>
      </c>
      <c r="C16" s="12" t="s">
        <v>170</v>
      </c>
      <c r="D16" s="12" t="s">
        <v>7</v>
      </c>
      <c r="E16" s="12" t="s">
        <v>7</v>
      </c>
      <c r="F16" s="12" t="s">
        <v>8</v>
      </c>
      <c r="G16" s="14">
        <v>30.121604919433594</v>
      </c>
      <c r="H16" s="36">
        <v>20.716000000000001</v>
      </c>
      <c r="I16" s="37" t="s">
        <v>190</v>
      </c>
      <c r="J16" s="17">
        <v>16.791999816894531</v>
      </c>
      <c r="K16" s="18" t="s">
        <v>7</v>
      </c>
      <c r="L16" s="32" t="s">
        <v>8</v>
      </c>
      <c r="M16" s="32" t="s">
        <v>10</v>
      </c>
      <c r="N16" s="19" t="s">
        <v>7</v>
      </c>
      <c r="O16" s="20" t="s">
        <v>7</v>
      </c>
      <c r="P16" s="21">
        <f>SUM(Q16:T16)</f>
        <v>3</v>
      </c>
      <c r="Q16" s="33">
        <v>1</v>
      </c>
      <c r="R16" s="21">
        <v>1</v>
      </c>
      <c r="S16" s="21">
        <v>1</v>
      </c>
      <c r="T16" s="21">
        <v>0</v>
      </c>
      <c r="U16" s="21">
        <f t="shared" si="0"/>
        <v>3</v>
      </c>
      <c r="V16" s="33">
        <v>1</v>
      </c>
      <c r="W16" s="21">
        <v>1</v>
      </c>
      <c r="X16" s="21">
        <v>1</v>
      </c>
      <c r="Y16" s="21">
        <v>0</v>
      </c>
      <c r="Z16" s="21" t="s">
        <v>299</v>
      </c>
      <c r="AA16" s="21" t="s">
        <v>190</v>
      </c>
      <c r="AB16" s="22" t="s">
        <v>224</v>
      </c>
    </row>
    <row r="17" spans="1:28" s="22" customFormat="1" x14ac:dyDescent="0.2">
      <c r="A17" s="12" t="s">
        <v>24</v>
      </c>
      <c r="B17" s="12" t="s">
        <v>166</v>
      </c>
      <c r="C17" s="12" t="s">
        <v>170</v>
      </c>
      <c r="D17" s="12" t="s">
        <v>7</v>
      </c>
      <c r="E17" s="12" t="s">
        <v>7</v>
      </c>
      <c r="F17" s="12" t="s">
        <v>7</v>
      </c>
      <c r="G17" s="14">
        <v>25.069606781005859</v>
      </c>
      <c r="H17" s="36">
        <v>24.75</v>
      </c>
      <c r="I17" s="37" t="s">
        <v>189</v>
      </c>
      <c r="J17" s="17">
        <v>15.803861618041992</v>
      </c>
      <c r="K17" s="18" t="s">
        <v>7</v>
      </c>
      <c r="L17" s="32" t="s">
        <v>7</v>
      </c>
      <c r="M17" s="32" t="s">
        <v>7</v>
      </c>
      <c r="N17" s="19" t="s">
        <v>7</v>
      </c>
      <c r="O17" s="20" t="s">
        <v>7</v>
      </c>
      <c r="P17" s="21">
        <f>SUM(Q17:T17)</f>
        <v>5</v>
      </c>
      <c r="Q17" s="33">
        <v>1</v>
      </c>
      <c r="R17" s="21">
        <v>1</v>
      </c>
      <c r="S17" s="21">
        <v>2</v>
      </c>
      <c r="T17" s="33">
        <v>1</v>
      </c>
      <c r="U17" s="21">
        <f t="shared" si="0"/>
        <v>5</v>
      </c>
      <c r="V17" s="33">
        <v>1</v>
      </c>
      <c r="W17" s="21">
        <v>1</v>
      </c>
      <c r="X17" s="21">
        <v>2</v>
      </c>
      <c r="Y17" s="33">
        <v>1</v>
      </c>
      <c r="Z17" s="33" t="s">
        <v>298</v>
      </c>
      <c r="AA17" s="33" t="s">
        <v>189</v>
      </c>
      <c r="AB17" s="22" t="s">
        <v>225</v>
      </c>
    </row>
    <row r="18" spans="1:28" s="22" customFormat="1" x14ac:dyDescent="0.2">
      <c r="A18" s="12" t="s">
        <v>25</v>
      </c>
      <c r="B18" s="12" t="s">
        <v>166</v>
      </c>
      <c r="C18" s="12" t="s">
        <v>170</v>
      </c>
      <c r="D18" s="12" t="s">
        <v>7</v>
      </c>
      <c r="E18" s="12" t="s">
        <v>7</v>
      </c>
      <c r="F18" s="12" t="s">
        <v>8</v>
      </c>
      <c r="G18" s="14">
        <v>30.250871658325195</v>
      </c>
      <c r="H18" s="36">
        <v>19.748000000000001</v>
      </c>
      <c r="I18" s="37" t="s">
        <v>190</v>
      </c>
      <c r="J18" s="17">
        <v>18.80122184753418</v>
      </c>
      <c r="K18" s="18" t="s">
        <v>7</v>
      </c>
      <c r="L18" s="32" t="s">
        <v>8</v>
      </c>
      <c r="M18" s="32" t="s">
        <v>10</v>
      </c>
      <c r="N18" s="19" t="s">
        <v>7</v>
      </c>
      <c r="O18" s="20" t="s">
        <v>7</v>
      </c>
      <c r="P18" s="21">
        <f>SUM(Q18:T18)</f>
        <v>3</v>
      </c>
      <c r="Q18" s="33">
        <v>1</v>
      </c>
      <c r="R18" s="21">
        <v>1</v>
      </c>
      <c r="S18" s="21">
        <v>1</v>
      </c>
      <c r="T18" s="21">
        <v>0</v>
      </c>
      <c r="U18" s="21">
        <f t="shared" si="0"/>
        <v>3</v>
      </c>
      <c r="V18" s="33">
        <v>1</v>
      </c>
      <c r="W18" s="21">
        <v>1</v>
      </c>
      <c r="X18" s="21">
        <v>1</v>
      </c>
      <c r="Y18" s="21">
        <v>0</v>
      </c>
      <c r="Z18" s="21" t="s">
        <v>299</v>
      </c>
      <c r="AA18" s="21" t="s">
        <v>190</v>
      </c>
      <c r="AB18" s="22" t="s">
        <v>226</v>
      </c>
    </row>
    <row r="19" spans="1:28" s="22" customFormat="1" x14ac:dyDescent="0.2">
      <c r="A19" s="12" t="s">
        <v>26</v>
      </c>
      <c r="B19" s="12" t="s">
        <v>166</v>
      </c>
      <c r="C19" s="12" t="s">
        <v>170</v>
      </c>
      <c r="D19" s="12" t="s">
        <v>7</v>
      </c>
      <c r="E19" s="12" t="s">
        <v>7</v>
      </c>
      <c r="F19" s="12" t="s">
        <v>8</v>
      </c>
      <c r="G19" s="14">
        <v>29.679349899291992</v>
      </c>
      <c r="H19" s="15">
        <v>19.131689071655273</v>
      </c>
      <c r="I19" s="16" t="s">
        <v>189</v>
      </c>
      <c r="J19" s="17">
        <v>15.713371276855469</v>
      </c>
      <c r="K19" s="18" t="s">
        <v>7</v>
      </c>
      <c r="L19" s="32" t="s">
        <v>8</v>
      </c>
      <c r="M19" s="32" t="s">
        <v>10</v>
      </c>
      <c r="N19" s="19" t="s">
        <v>7</v>
      </c>
      <c r="O19" s="20" t="s">
        <v>7</v>
      </c>
      <c r="P19" s="21">
        <f>SUM(Q19:T19)</f>
        <v>3</v>
      </c>
      <c r="Q19" s="20">
        <v>1</v>
      </c>
      <c r="R19" s="21">
        <v>1</v>
      </c>
      <c r="S19" s="33">
        <v>1</v>
      </c>
      <c r="T19" s="33">
        <v>0</v>
      </c>
      <c r="U19" s="21">
        <f t="shared" si="0"/>
        <v>3</v>
      </c>
      <c r="V19" s="20">
        <v>1</v>
      </c>
      <c r="W19" s="21">
        <v>1</v>
      </c>
      <c r="X19" s="33">
        <v>1</v>
      </c>
      <c r="Y19" s="33">
        <v>0</v>
      </c>
      <c r="Z19" s="33" t="s">
        <v>299</v>
      </c>
      <c r="AA19" s="33" t="s">
        <v>190</v>
      </c>
      <c r="AB19" s="22" t="s">
        <v>221</v>
      </c>
    </row>
    <row r="20" spans="1:28" s="22" customFormat="1" x14ac:dyDescent="0.2">
      <c r="A20" s="12" t="s">
        <v>27</v>
      </c>
      <c r="B20" s="12" t="s">
        <v>166</v>
      </c>
      <c r="C20" s="12" t="s">
        <v>170</v>
      </c>
      <c r="D20" s="12" t="s">
        <v>7</v>
      </c>
      <c r="E20" s="12" t="s">
        <v>8</v>
      </c>
      <c r="F20" s="12" t="s">
        <v>8</v>
      </c>
      <c r="G20" s="14">
        <v>26.432893753051758</v>
      </c>
      <c r="H20" s="15">
        <v>23.858524322509766</v>
      </c>
      <c r="I20" s="16" t="s">
        <v>189</v>
      </c>
      <c r="J20" s="17">
        <v>15.810419082641602</v>
      </c>
      <c r="K20" s="18" t="s">
        <v>8</v>
      </c>
      <c r="L20" s="21" t="s">
        <v>8</v>
      </c>
      <c r="M20" s="21" t="s">
        <v>8</v>
      </c>
      <c r="N20" s="21" t="s">
        <v>7</v>
      </c>
      <c r="O20" s="21" t="s">
        <v>8</v>
      </c>
      <c r="P20" s="21">
        <f>SUM(Q20:T20)</f>
        <v>0</v>
      </c>
      <c r="Q20" s="21">
        <v>0</v>
      </c>
      <c r="R20" s="21">
        <v>0</v>
      </c>
      <c r="S20" s="21">
        <v>0</v>
      </c>
      <c r="T20" s="21">
        <v>0</v>
      </c>
      <c r="U20" s="21">
        <f t="shared" si="0"/>
        <v>3</v>
      </c>
      <c r="V20" s="21">
        <v>0</v>
      </c>
      <c r="W20" s="21">
        <v>1</v>
      </c>
      <c r="X20" s="21">
        <v>1</v>
      </c>
      <c r="Y20" s="21">
        <v>1</v>
      </c>
      <c r="Z20" s="21" t="s">
        <v>299</v>
      </c>
      <c r="AA20" s="21" t="s">
        <v>10</v>
      </c>
    </row>
    <row r="21" spans="1:28" s="22" customFormat="1" x14ac:dyDescent="0.2">
      <c r="A21" s="12" t="s">
        <v>28</v>
      </c>
      <c r="B21" s="12" t="s">
        <v>166</v>
      </c>
      <c r="C21" s="12" t="s">
        <v>170</v>
      </c>
      <c r="D21" s="12" t="s">
        <v>7</v>
      </c>
      <c r="E21" s="12" t="s">
        <v>7</v>
      </c>
      <c r="F21" s="12" t="s">
        <v>7</v>
      </c>
      <c r="G21" s="14">
        <v>27.713842391967773</v>
      </c>
      <c r="H21" s="15">
        <v>27.248291015625</v>
      </c>
      <c r="I21" s="16" t="s">
        <v>189</v>
      </c>
      <c r="J21" s="17">
        <v>31.539651870727539</v>
      </c>
      <c r="K21" s="18" t="s">
        <v>7</v>
      </c>
      <c r="L21" s="19" t="s">
        <v>7</v>
      </c>
      <c r="M21" s="20" t="s">
        <v>7</v>
      </c>
      <c r="N21" s="20" t="s">
        <v>7</v>
      </c>
      <c r="O21" s="20" t="s">
        <v>7</v>
      </c>
      <c r="P21" s="21">
        <f>SUM(Q21:T21)</f>
        <v>4</v>
      </c>
      <c r="Q21" s="33">
        <v>1</v>
      </c>
      <c r="R21" s="33">
        <v>1</v>
      </c>
      <c r="S21" s="33">
        <v>1</v>
      </c>
      <c r="T21" s="33">
        <v>1</v>
      </c>
      <c r="U21" s="21">
        <f t="shared" si="0"/>
        <v>4</v>
      </c>
      <c r="V21" s="33">
        <v>1</v>
      </c>
      <c r="W21" s="33">
        <v>1</v>
      </c>
      <c r="X21" s="33">
        <v>1</v>
      </c>
      <c r="Y21" s="33">
        <v>1</v>
      </c>
      <c r="Z21" s="33" t="s">
        <v>299</v>
      </c>
      <c r="AA21" s="33" t="s">
        <v>189</v>
      </c>
      <c r="AB21" s="22" t="s">
        <v>222</v>
      </c>
    </row>
    <row r="22" spans="1:28" s="22" customFormat="1" x14ac:dyDescent="0.2">
      <c r="A22" s="12" t="s">
        <v>29</v>
      </c>
      <c r="B22" s="12" t="s">
        <v>166</v>
      </c>
      <c r="C22" s="12" t="s">
        <v>170</v>
      </c>
      <c r="D22" s="12" t="s">
        <v>8</v>
      </c>
      <c r="E22" s="12" t="s">
        <v>10</v>
      </c>
      <c r="F22" s="12" t="s">
        <v>8</v>
      </c>
      <c r="G22" s="14">
        <v>22.579870223999023</v>
      </c>
      <c r="H22" s="15">
        <v>31.992885589599609</v>
      </c>
      <c r="I22" s="16" t="s">
        <v>189</v>
      </c>
      <c r="J22" s="17">
        <v>15.710594177246094</v>
      </c>
      <c r="K22" s="18" t="s">
        <v>8</v>
      </c>
      <c r="L22" s="32" t="s">
        <v>8</v>
      </c>
      <c r="M22" s="32" t="s">
        <v>10</v>
      </c>
      <c r="N22" s="32" t="s">
        <v>8</v>
      </c>
      <c r="O22" s="32" t="s">
        <v>10</v>
      </c>
      <c r="P22" s="21">
        <f>SUM(Q22:T22)</f>
        <v>0</v>
      </c>
      <c r="Q22" s="21">
        <v>0</v>
      </c>
      <c r="R22" s="21">
        <v>0</v>
      </c>
      <c r="S22" s="21">
        <v>0</v>
      </c>
      <c r="T22" s="21">
        <v>0</v>
      </c>
      <c r="U22" s="21">
        <f t="shared" si="0"/>
        <v>0</v>
      </c>
      <c r="V22" s="21">
        <v>0</v>
      </c>
      <c r="W22" s="21">
        <v>0</v>
      </c>
      <c r="X22" s="21">
        <v>0</v>
      </c>
      <c r="Y22" s="21">
        <v>0</v>
      </c>
      <c r="Z22" s="21" t="s">
        <v>10</v>
      </c>
      <c r="AA22" s="21" t="s">
        <v>10</v>
      </c>
    </row>
    <row r="23" spans="1:28" s="22" customFormat="1" x14ac:dyDescent="0.2">
      <c r="A23" s="12" t="s">
        <v>30</v>
      </c>
      <c r="B23" s="12" t="s">
        <v>166</v>
      </c>
      <c r="C23" s="12" t="s">
        <v>170</v>
      </c>
      <c r="D23" s="12" t="s">
        <v>7</v>
      </c>
      <c r="E23" s="12" t="s">
        <v>8</v>
      </c>
      <c r="F23" s="12" t="s">
        <v>7</v>
      </c>
      <c r="G23" s="14">
        <v>25.395845413208008</v>
      </c>
      <c r="H23" s="15">
        <v>27.582691192626953</v>
      </c>
      <c r="I23" s="16" t="s">
        <v>189</v>
      </c>
      <c r="J23" s="17">
        <v>18.956722259521484</v>
      </c>
      <c r="K23" s="18" t="s">
        <v>7</v>
      </c>
      <c r="L23" s="32" t="s">
        <v>8</v>
      </c>
      <c r="M23" s="32" t="s">
        <v>10</v>
      </c>
      <c r="N23" s="20" t="s">
        <v>7</v>
      </c>
      <c r="O23" s="20" t="s">
        <v>8</v>
      </c>
      <c r="P23" s="21">
        <f>SUM(Q23:T23)</f>
        <v>0</v>
      </c>
      <c r="Q23" s="21">
        <v>0</v>
      </c>
      <c r="R23" s="21">
        <v>0</v>
      </c>
      <c r="S23" s="21">
        <v>0</v>
      </c>
      <c r="T23" s="21">
        <v>0</v>
      </c>
      <c r="U23" s="21">
        <f t="shared" si="0"/>
        <v>2</v>
      </c>
      <c r="V23" s="21">
        <v>0</v>
      </c>
      <c r="W23" s="21">
        <v>1</v>
      </c>
      <c r="X23" s="21">
        <v>0</v>
      </c>
      <c r="Y23" s="21">
        <v>1</v>
      </c>
      <c r="Z23" s="21" t="s">
        <v>299</v>
      </c>
      <c r="AA23" s="21" t="s">
        <v>10</v>
      </c>
    </row>
    <row r="24" spans="1:28" s="22" customFormat="1" x14ac:dyDescent="0.2">
      <c r="A24" s="12" t="s">
        <v>31</v>
      </c>
      <c r="B24" s="12" t="s">
        <v>166</v>
      </c>
      <c r="C24" s="12" t="s">
        <v>170</v>
      </c>
      <c r="D24" s="12" t="s">
        <v>7</v>
      </c>
      <c r="E24" s="12" t="s">
        <v>7</v>
      </c>
      <c r="F24" s="12" t="s">
        <v>8</v>
      </c>
      <c r="G24" s="14">
        <v>29.597885131835938</v>
      </c>
      <c r="H24" s="15">
        <v>17.892337799072266</v>
      </c>
      <c r="I24" s="16" t="s">
        <v>189</v>
      </c>
      <c r="J24" s="17">
        <v>16.225496292114258</v>
      </c>
      <c r="K24" s="18" t="s">
        <v>7</v>
      </c>
      <c r="L24" s="19" t="s">
        <v>8</v>
      </c>
      <c r="M24" s="20" t="s">
        <v>10</v>
      </c>
      <c r="N24" s="20" t="s">
        <v>7</v>
      </c>
      <c r="O24" s="20" t="s">
        <v>7</v>
      </c>
      <c r="P24" s="21">
        <f>SUM(Q24:T24)</f>
        <v>3</v>
      </c>
      <c r="Q24" s="33">
        <v>1</v>
      </c>
      <c r="R24" s="21">
        <v>1</v>
      </c>
      <c r="S24" s="21">
        <v>1</v>
      </c>
      <c r="T24" s="21">
        <v>0</v>
      </c>
      <c r="U24" s="21">
        <f t="shared" si="0"/>
        <v>3</v>
      </c>
      <c r="V24" s="33">
        <v>1</v>
      </c>
      <c r="W24" s="21">
        <v>1</v>
      </c>
      <c r="X24" s="21">
        <v>1</v>
      </c>
      <c r="Y24" s="21">
        <v>0</v>
      </c>
      <c r="Z24" s="21" t="s">
        <v>299</v>
      </c>
      <c r="AA24" s="21" t="s">
        <v>190</v>
      </c>
      <c r="AB24" s="22" t="s">
        <v>229</v>
      </c>
    </row>
    <row r="25" spans="1:28" s="22" customFormat="1" x14ac:dyDescent="0.2">
      <c r="A25" s="12" t="s">
        <v>32</v>
      </c>
      <c r="B25" s="12" t="s">
        <v>166</v>
      </c>
      <c r="C25" s="12" t="s">
        <v>170</v>
      </c>
      <c r="D25" s="12" t="s">
        <v>8</v>
      </c>
      <c r="E25" s="12" t="s">
        <v>10</v>
      </c>
      <c r="F25" s="12" t="s">
        <v>7</v>
      </c>
      <c r="G25" s="14">
        <v>25.2945652008057</v>
      </c>
      <c r="H25" s="15">
        <v>28.973796844482422</v>
      </c>
      <c r="I25" s="16" t="s">
        <v>189</v>
      </c>
      <c r="J25" s="17">
        <v>16.126977920532227</v>
      </c>
      <c r="K25" s="18" t="s">
        <v>7</v>
      </c>
      <c r="L25" s="32" t="s">
        <v>8</v>
      </c>
      <c r="M25" s="32" t="s">
        <v>10</v>
      </c>
      <c r="N25" s="32" t="s">
        <v>8</v>
      </c>
      <c r="O25" s="32" t="s">
        <v>10</v>
      </c>
      <c r="P25" s="21">
        <f>SUM(Q25:T25)</f>
        <v>0</v>
      </c>
      <c r="Q25" s="21">
        <v>0</v>
      </c>
      <c r="R25" s="21">
        <v>0</v>
      </c>
      <c r="S25" s="21">
        <v>0</v>
      </c>
      <c r="T25" s="21">
        <v>0</v>
      </c>
      <c r="U25" s="21">
        <f t="shared" si="0"/>
        <v>0</v>
      </c>
      <c r="V25" s="21">
        <v>0</v>
      </c>
      <c r="W25" s="21">
        <v>0</v>
      </c>
      <c r="X25" s="21">
        <v>0</v>
      </c>
      <c r="Y25" s="21">
        <v>0</v>
      </c>
      <c r="Z25" s="21" t="s">
        <v>10</v>
      </c>
      <c r="AA25" s="21" t="s">
        <v>10</v>
      </c>
    </row>
    <row r="26" spans="1:28" s="22" customFormat="1" x14ac:dyDescent="0.2">
      <c r="A26" s="12" t="s">
        <v>33</v>
      </c>
      <c r="B26" s="12" t="s">
        <v>166</v>
      </c>
      <c r="C26" s="12" t="s">
        <v>170</v>
      </c>
      <c r="D26" s="12" t="s">
        <v>7</v>
      </c>
      <c r="E26" s="12" t="s">
        <v>7</v>
      </c>
      <c r="F26" s="12" t="s">
        <v>8</v>
      </c>
      <c r="G26" s="14">
        <v>34.246334075927734</v>
      </c>
      <c r="H26" s="15">
        <v>21.605278015136719</v>
      </c>
      <c r="I26" s="16" t="s">
        <v>190</v>
      </c>
      <c r="J26" s="17">
        <v>19.165725708007812</v>
      </c>
      <c r="K26" s="18" t="s">
        <v>7</v>
      </c>
      <c r="L26" s="19" t="s">
        <v>8</v>
      </c>
      <c r="M26" s="20" t="s">
        <v>10</v>
      </c>
      <c r="N26" s="20" t="s">
        <v>7</v>
      </c>
      <c r="O26" s="20" t="s">
        <v>7</v>
      </c>
      <c r="P26" s="21">
        <f>SUM(Q26:T26)</f>
        <v>3</v>
      </c>
      <c r="Q26" s="33">
        <v>1</v>
      </c>
      <c r="R26" s="21">
        <v>1</v>
      </c>
      <c r="S26" s="21">
        <v>1</v>
      </c>
      <c r="T26" s="21">
        <v>0</v>
      </c>
      <c r="U26" s="21">
        <f t="shared" si="0"/>
        <v>3</v>
      </c>
      <c r="V26" s="33">
        <v>1</v>
      </c>
      <c r="W26" s="21">
        <v>1</v>
      </c>
      <c r="X26" s="21">
        <v>1</v>
      </c>
      <c r="Y26" s="21">
        <v>0</v>
      </c>
      <c r="Z26" s="21" t="s">
        <v>299</v>
      </c>
      <c r="AA26" s="21" t="s">
        <v>190</v>
      </c>
      <c r="AB26" s="22" t="s">
        <v>234</v>
      </c>
    </row>
    <row r="27" spans="1:28" s="22" customFormat="1" x14ac:dyDescent="0.2">
      <c r="A27" s="12" t="s">
        <v>34</v>
      </c>
      <c r="B27" s="12" t="s">
        <v>166</v>
      </c>
      <c r="C27" s="12" t="s">
        <v>170</v>
      </c>
      <c r="D27" s="12" t="s">
        <v>7</v>
      </c>
      <c r="E27" s="12" t="s">
        <v>8</v>
      </c>
      <c r="F27" s="12" t="s">
        <v>8</v>
      </c>
      <c r="G27" s="14">
        <v>12.740597724914551</v>
      </c>
      <c r="H27" s="15">
        <v>13.502950668334961</v>
      </c>
      <c r="I27" s="16" t="s">
        <v>189</v>
      </c>
      <c r="J27" s="17">
        <v>18.708316802978516</v>
      </c>
      <c r="K27" s="18" t="s">
        <v>8</v>
      </c>
      <c r="L27" s="19" t="s">
        <v>7</v>
      </c>
      <c r="M27" s="20" t="s">
        <v>7</v>
      </c>
      <c r="N27" s="20" t="s">
        <v>7</v>
      </c>
      <c r="O27" s="20" t="s">
        <v>7</v>
      </c>
      <c r="P27" s="21">
        <f>SUM(Q27:T27)</f>
        <v>4</v>
      </c>
      <c r="Q27" s="33">
        <v>1</v>
      </c>
      <c r="R27" s="21">
        <v>1</v>
      </c>
      <c r="S27" s="21">
        <v>1</v>
      </c>
      <c r="T27" s="33">
        <v>1</v>
      </c>
      <c r="U27" s="21">
        <f t="shared" si="0"/>
        <v>4</v>
      </c>
      <c r="V27" s="33">
        <v>1</v>
      </c>
      <c r="W27" s="21">
        <v>1</v>
      </c>
      <c r="X27" s="21">
        <v>1</v>
      </c>
      <c r="Y27" s="33">
        <v>1</v>
      </c>
      <c r="Z27" s="33" t="s">
        <v>299</v>
      </c>
      <c r="AA27" s="33" t="s">
        <v>189</v>
      </c>
      <c r="AB27" s="22" t="s">
        <v>232</v>
      </c>
    </row>
    <row r="28" spans="1:28" s="22" customFormat="1" x14ac:dyDescent="0.2">
      <c r="A28" s="12" t="s">
        <v>35</v>
      </c>
      <c r="B28" s="12" t="s">
        <v>166</v>
      </c>
      <c r="C28" s="12" t="s">
        <v>170</v>
      </c>
      <c r="D28" s="12" t="s">
        <v>7</v>
      </c>
      <c r="E28" s="12" t="s">
        <v>7</v>
      </c>
      <c r="F28" s="12" t="s">
        <v>8</v>
      </c>
      <c r="G28" s="14">
        <v>22.138479232788086</v>
      </c>
      <c r="H28" s="15">
        <v>22.696832656860352</v>
      </c>
      <c r="I28" s="16" t="s">
        <v>189</v>
      </c>
      <c r="J28" s="17">
        <v>18.522771835327148</v>
      </c>
      <c r="K28" s="18" t="s">
        <v>7</v>
      </c>
      <c r="L28" s="19" t="s">
        <v>7</v>
      </c>
      <c r="M28" s="20" t="s">
        <v>7</v>
      </c>
      <c r="N28" s="20" t="s">
        <v>7</v>
      </c>
      <c r="O28" s="21" t="s">
        <v>8</v>
      </c>
      <c r="P28" s="21">
        <f>SUM(Q28:T28)</f>
        <v>4</v>
      </c>
      <c r="Q28" s="33">
        <v>1</v>
      </c>
      <c r="R28" s="21">
        <v>1</v>
      </c>
      <c r="S28" s="21">
        <v>1</v>
      </c>
      <c r="T28" s="33">
        <v>1</v>
      </c>
      <c r="U28" s="21">
        <f t="shared" si="0"/>
        <v>4</v>
      </c>
      <c r="V28" s="33">
        <v>1</v>
      </c>
      <c r="W28" s="21">
        <v>1</v>
      </c>
      <c r="X28" s="21">
        <v>1</v>
      </c>
      <c r="Y28" s="33">
        <v>1</v>
      </c>
      <c r="Z28" s="33" t="s">
        <v>299</v>
      </c>
      <c r="AA28" s="33" t="s">
        <v>189</v>
      </c>
      <c r="AB28" s="22" t="s">
        <v>233</v>
      </c>
    </row>
    <row r="29" spans="1:28" s="22" customFormat="1" x14ac:dyDescent="0.2">
      <c r="A29" s="12" t="s">
        <v>36</v>
      </c>
      <c r="B29" s="12" t="s">
        <v>166</v>
      </c>
      <c r="C29" s="12" t="s">
        <v>170</v>
      </c>
      <c r="D29" s="12" t="s">
        <v>7</v>
      </c>
      <c r="E29" s="12" t="s">
        <v>7</v>
      </c>
      <c r="F29" s="12" t="s">
        <v>8</v>
      </c>
      <c r="G29" s="14">
        <v>11.117532730102539</v>
      </c>
      <c r="H29" s="36">
        <v>10.983000000000001</v>
      </c>
      <c r="I29" s="37" t="s">
        <v>189</v>
      </c>
      <c r="J29" s="17">
        <v>16.233196258544922</v>
      </c>
      <c r="K29" s="18" t="s">
        <v>7</v>
      </c>
      <c r="L29" s="19" t="s">
        <v>7</v>
      </c>
      <c r="M29" s="20" t="s">
        <v>7</v>
      </c>
      <c r="N29" s="20" t="s">
        <v>7</v>
      </c>
      <c r="O29" s="20" t="s">
        <v>7</v>
      </c>
      <c r="P29" s="21">
        <f>SUM(Q29:T29)</f>
        <v>4</v>
      </c>
      <c r="Q29" s="33">
        <v>1</v>
      </c>
      <c r="R29" s="33">
        <v>1</v>
      </c>
      <c r="S29" s="33">
        <v>1</v>
      </c>
      <c r="T29" s="33">
        <v>1</v>
      </c>
      <c r="U29" s="21">
        <f t="shared" si="0"/>
        <v>5</v>
      </c>
      <c r="V29" s="33">
        <v>1</v>
      </c>
      <c r="W29" s="33">
        <v>1</v>
      </c>
      <c r="X29" s="33">
        <v>2</v>
      </c>
      <c r="Y29" s="33">
        <v>1</v>
      </c>
      <c r="Z29" s="33" t="s">
        <v>298</v>
      </c>
      <c r="AA29" s="33" t="s">
        <v>189</v>
      </c>
      <c r="AB29" s="22" t="s">
        <v>231</v>
      </c>
    </row>
    <row r="30" spans="1:28" s="22" customFormat="1" x14ac:dyDescent="0.2">
      <c r="A30" s="12" t="s">
        <v>37</v>
      </c>
      <c r="B30" s="12" t="s">
        <v>166</v>
      </c>
      <c r="C30" s="12" t="s">
        <v>170</v>
      </c>
      <c r="D30" s="12" t="s">
        <v>7</v>
      </c>
      <c r="E30" s="12" t="s">
        <v>7</v>
      </c>
      <c r="F30" s="12" t="s">
        <v>8</v>
      </c>
      <c r="G30" s="14">
        <v>30.454654693603516</v>
      </c>
      <c r="H30" s="36">
        <v>19.901</v>
      </c>
      <c r="I30" s="37" t="s">
        <v>190</v>
      </c>
      <c r="J30" s="17">
        <v>16.502288818359375</v>
      </c>
      <c r="K30" s="18" t="s">
        <v>7</v>
      </c>
      <c r="L30" s="19" t="s">
        <v>8</v>
      </c>
      <c r="M30" s="20" t="s">
        <v>10</v>
      </c>
      <c r="N30" s="20" t="s">
        <v>7</v>
      </c>
      <c r="O30" s="20" t="s">
        <v>7</v>
      </c>
      <c r="P30" s="21">
        <f>SUM(Q30:T30)</f>
        <v>3</v>
      </c>
      <c r="Q30" s="33">
        <v>1</v>
      </c>
      <c r="R30" s="33">
        <v>1</v>
      </c>
      <c r="S30" s="33">
        <v>1</v>
      </c>
      <c r="T30" s="33">
        <v>0</v>
      </c>
      <c r="U30" s="21">
        <f t="shared" si="0"/>
        <v>3</v>
      </c>
      <c r="V30" s="33">
        <v>1</v>
      </c>
      <c r="W30" s="33">
        <v>1</v>
      </c>
      <c r="X30" s="33">
        <v>1</v>
      </c>
      <c r="Y30" s="33">
        <v>0</v>
      </c>
      <c r="Z30" s="33" t="s">
        <v>299</v>
      </c>
      <c r="AA30" s="33" t="s">
        <v>190</v>
      </c>
      <c r="AB30" s="22" t="s">
        <v>230</v>
      </c>
    </row>
    <row r="31" spans="1:28" s="22" customFormat="1" x14ac:dyDescent="0.2">
      <c r="A31" s="12" t="s">
        <v>38</v>
      </c>
      <c r="B31" s="12" t="s">
        <v>166</v>
      </c>
      <c r="C31" s="12" t="s">
        <v>170</v>
      </c>
      <c r="D31" s="12" t="s">
        <v>8</v>
      </c>
      <c r="E31" s="12" t="s">
        <v>10</v>
      </c>
      <c r="F31" s="12" t="s">
        <v>7</v>
      </c>
      <c r="G31" s="14">
        <v>28.916074752807617</v>
      </c>
      <c r="H31" s="15">
        <v>28.541841506958008</v>
      </c>
      <c r="I31" s="16" t="s">
        <v>189</v>
      </c>
      <c r="J31" s="17">
        <v>15.714227676391602</v>
      </c>
      <c r="K31" s="18" t="s">
        <v>7</v>
      </c>
      <c r="L31" s="19" t="s">
        <v>8</v>
      </c>
      <c r="M31" s="20" t="s">
        <v>10</v>
      </c>
      <c r="N31" s="20" t="s">
        <v>8</v>
      </c>
      <c r="O31" s="20" t="s">
        <v>10</v>
      </c>
      <c r="P31" s="21">
        <f>SUM(Q31:T31)</f>
        <v>0</v>
      </c>
      <c r="Q31" s="21">
        <v>0</v>
      </c>
      <c r="R31" s="21">
        <v>0</v>
      </c>
      <c r="S31" s="21">
        <v>0</v>
      </c>
      <c r="T31" s="21">
        <v>0</v>
      </c>
      <c r="U31" s="21">
        <f t="shared" si="0"/>
        <v>0</v>
      </c>
      <c r="V31" s="21">
        <v>0</v>
      </c>
      <c r="W31" s="21">
        <v>0</v>
      </c>
      <c r="X31" s="21">
        <v>0</v>
      </c>
      <c r="Y31" s="21">
        <v>0</v>
      </c>
      <c r="Z31" s="21" t="s">
        <v>10</v>
      </c>
      <c r="AA31" s="21" t="s">
        <v>10</v>
      </c>
    </row>
    <row r="32" spans="1:28" s="22" customFormat="1" x14ac:dyDescent="0.2">
      <c r="A32" s="12" t="s">
        <v>39</v>
      </c>
      <c r="B32" s="12" t="s">
        <v>166</v>
      </c>
      <c r="C32" s="12" t="s">
        <v>170</v>
      </c>
      <c r="D32" s="12" t="s">
        <v>7</v>
      </c>
      <c r="E32" s="12" t="s">
        <v>7</v>
      </c>
      <c r="F32" s="12" t="s">
        <v>8</v>
      </c>
      <c r="G32" s="14">
        <v>13.797126770019531</v>
      </c>
      <c r="H32" s="15">
        <v>13.869210243225098</v>
      </c>
      <c r="I32" s="16" t="s">
        <v>189</v>
      </c>
      <c r="J32" s="17">
        <v>18.178661346435547</v>
      </c>
      <c r="K32" s="18" t="s">
        <v>7</v>
      </c>
      <c r="L32" s="19" t="s">
        <v>7</v>
      </c>
      <c r="M32" s="20" t="s">
        <v>7</v>
      </c>
      <c r="N32" s="20" t="s">
        <v>7</v>
      </c>
      <c r="O32" s="20" t="s">
        <v>7</v>
      </c>
      <c r="P32" s="21">
        <f>SUM(Q32:T32)</f>
        <v>4</v>
      </c>
      <c r="Q32" s="33">
        <v>1</v>
      </c>
      <c r="R32" s="21">
        <v>1</v>
      </c>
      <c r="S32" s="21">
        <v>1</v>
      </c>
      <c r="T32" s="33">
        <v>1</v>
      </c>
      <c r="U32" s="21">
        <f t="shared" si="0"/>
        <v>4</v>
      </c>
      <c r="V32" s="33">
        <v>1</v>
      </c>
      <c r="W32" s="21">
        <v>1</v>
      </c>
      <c r="X32" s="21">
        <v>1</v>
      </c>
      <c r="Y32" s="33">
        <v>1</v>
      </c>
      <c r="Z32" s="33" t="s">
        <v>299</v>
      </c>
      <c r="AA32" s="33" t="s">
        <v>189</v>
      </c>
      <c r="AB32" s="22" t="s">
        <v>235</v>
      </c>
    </row>
    <row r="33" spans="1:28" s="22" customFormat="1" x14ac:dyDescent="0.2">
      <c r="A33" s="12" t="s">
        <v>40</v>
      </c>
      <c r="B33" s="12" t="s">
        <v>166</v>
      </c>
      <c r="C33" s="12" t="s">
        <v>170</v>
      </c>
      <c r="D33" s="12" t="s">
        <v>7</v>
      </c>
      <c r="E33" s="12" t="s">
        <v>7</v>
      </c>
      <c r="F33" s="12" t="s">
        <v>8</v>
      </c>
      <c r="G33" s="14">
        <v>24.920131683349609</v>
      </c>
      <c r="H33" s="15">
        <v>17.735584259033203</v>
      </c>
      <c r="I33" s="16" t="s">
        <v>189</v>
      </c>
      <c r="J33" s="17">
        <v>17.189058303833008</v>
      </c>
      <c r="K33" s="18" t="s">
        <v>7</v>
      </c>
      <c r="L33" s="19" t="s">
        <v>8</v>
      </c>
      <c r="M33" s="20" t="s">
        <v>10</v>
      </c>
      <c r="N33" s="20" t="s">
        <v>7</v>
      </c>
      <c r="O33" s="20" t="s">
        <v>7</v>
      </c>
      <c r="P33" s="21">
        <f>SUM(Q33:T33)</f>
        <v>4</v>
      </c>
      <c r="Q33" s="33">
        <v>1</v>
      </c>
      <c r="R33" s="21">
        <v>1</v>
      </c>
      <c r="S33" s="21">
        <v>2</v>
      </c>
      <c r="T33" s="21">
        <v>0</v>
      </c>
      <c r="U33" s="21">
        <f t="shared" si="0"/>
        <v>4</v>
      </c>
      <c r="V33" s="33">
        <v>1</v>
      </c>
      <c r="W33" s="21">
        <v>1</v>
      </c>
      <c r="X33" s="21">
        <v>2</v>
      </c>
      <c r="Y33" s="21">
        <v>0</v>
      </c>
      <c r="Z33" s="21" t="s">
        <v>298</v>
      </c>
      <c r="AA33" s="21" t="s">
        <v>190</v>
      </c>
      <c r="AB33" s="22" t="s">
        <v>237</v>
      </c>
    </row>
    <row r="34" spans="1:28" s="22" customFormat="1" x14ac:dyDescent="0.2">
      <c r="A34" s="12" t="s">
        <v>41</v>
      </c>
      <c r="B34" s="12" t="s">
        <v>166</v>
      </c>
      <c r="C34" s="12" t="s">
        <v>170</v>
      </c>
      <c r="D34" s="13" t="s">
        <v>7</v>
      </c>
      <c r="E34" s="13" t="s">
        <v>7</v>
      </c>
      <c r="F34" s="12" t="s">
        <v>8</v>
      </c>
      <c r="G34" s="14">
        <v>13.3319253921509</v>
      </c>
      <c r="H34" s="15">
        <v>13.447985649108887</v>
      </c>
      <c r="I34" s="16" t="s">
        <v>189</v>
      </c>
      <c r="J34" s="17">
        <v>17.126476287841797</v>
      </c>
      <c r="K34" s="18" t="s">
        <v>7</v>
      </c>
      <c r="L34" s="19" t="s">
        <v>7</v>
      </c>
      <c r="M34" s="20" t="s">
        <v>7</v>
      </c>
      <c r="N34" s="20" t="s">
        <v>7</v>
      </c>
      <c r="O34" s="20" t="s">
        <v>7</v>
      </c>
      <c r="P34" s="21">
        <f>SUM(Q34:T34)</f>
        <v>4</v>
      </c>
      <c r="Q34" s="33">
        <v>1</v>
      </c>
      <c r="R34" s="21">
        <v>1</v>
      </c>
      <c r="S34" s="21">
        <v>1</v>
      </c>
      <c r="T34" s="33">
        <v>1</v>
      </c>
      <c r="U34" s="21">
        <f t="shared" si="0"/>
        <v>4</v>
      </c>
      <c r="V34" s="33">
        <v>1</v>
      </c>
      <c r="W34" s="21">
        <v>1</v>
      </c>
      <c r="X34" s="21">
        <v>1</v>
      </c>
      <c r="Y34" s="33">
        <v>1</v>
      </c>
      <c r="Z34" s="33" t="s">
        <v>299</v>
      </c>
      <c r="AA34" s="33" t="s">
        <v>189</v>
      </c>
      <c r="AB34" s="22" t="s">
        <v>238</v>
      </c>
    </row>
    <row r="35" spans="1:28" s="22" customFormat="1" x14ac:dyDescent="0.2">
      <c r="A35" s="12" t="s">
        <v>42</v>
      </c>
      <c r="B35" s="12" t="s">
        <v>166</v>
      </c>
      <c r="C35" s="12" t="s">
        <v>170</v>
      </c>
      <c r="D35" s="13" t="s">
        <v>7</v>
      </c>
      <c r="E35" s="13" t="s">
        <v>7</v>
      </c>
      <c r="F35" s="12" t="s">
        <v>8</v>
      </c>
      <c r="G35" s="14">
        <v>22.415836334228516</v>
      </c>
      <c r="H35" s="15">
        <v>21.7861328125</v>
      </c>
      <c r="I35" s="16" t="s">
        <v>189</v>
      </c>
      <c r="J35" s="17">
        <v>17.98884391784668</v>
      </c>
      <c r="K35" s="18" t="s">
        <v>7</v>
      </c>
      <c r="L35" s="19" t="s">
        <v>8</v>
      </c>
      <c r="M35" s="20" t="s">
        <v>10</v>
      </c>
      <c r="N35" s="20" t="s">
        <v>7</v>
      </c>
      <c r="O35" s="21" t="s">
        <v>8</v>
      </c>
      <c r="P35" s="21">
        <f>SUM(Q35:T35)</f>
        <v>1</v>
      </c>
      <c r="Q35" s="33">
        <v>0</v>
      </c>
      <c r="R35" s="21">
        <v>0</v>
      </c>
      <c r="S35" s="21">
        <v>1</v>
      </c>
      <c r="T35" s="33">
        <v>0</v>
      </c>
      <c r="U35" s="21">
        <f t="shared" si="0"/>
        <v>4</v>
      </c>
      <c r="V35" s="33">
        <v>1</v>
      </c>
      <c r="W35" s="21">
        <v>2</v>
      </c>
      <c r="X35" s="21">
        <v>1</v>
      </c>
      <c r="Y35" s="33">
        <v>0</v>
      </c>
      <c r="Z35" s="33" t="s">
        <v>298</v>
      </c>
      <c r="AA35" s="33" t="s">
        <v>190</v>
      </c>
      <c r="AB35" s="22" t="s">
        <v>239</v>
      </c>
    </row>
    <row r="36" spans="1:28" s="22" customFormat="1" x14ac:dyDescent="0.2">
      <c r="A36" s="12" t="s">
        <v>43</v>
      </c>
      <c r="B36" s="12" t="s">
        <v>166</v>
      </c>
      <c r="C36" s="12" t="s">
        <v>170</v>
      </c>
      <c r="D36" s="12" t="s">
        <v>7</v>
      </c>
      <c r="E36" s="12" t="s">
        <v>7</v>
      </c>
      <c r="F36" s="12" t="s">
        <v>8</v>
      </c>
      <c r="G36" s="14">
        <v>29.387308120727539</v>
      </c>
      <c r="H36" s="15">
        <v>17.949148178100586</v>
      </c>
      <c r="I36" s="16" t="s">
        <v>189</v>
      </c>
      <c r="J36" s="17">
        <v>17.476043701171875</v>
      </c>
      <c r="K36" s="18" t="s">
        <v>7</v>
      </c>
      <c r="L36" s="19" t="s">
        <v>8</v>
      </c>
      <c r="M36" s="20" t="s">
        <v>10</v>
      </c>
      <c r="N36" s="20" t="s">
        <v>7</v>
      </c>
      <c r="O36" s="20" t="s">
        <v>7</v>
      </c>
      <c r="P36" s="21">
        <f>SUM(Q36:T36)</f>
        <v>3</v>
      </c>
      <c r="Q36" s="33">
        <v>1</v>
      </c>
      <c r="R36" s="33">
        <v>1</v>
      </c>
      <c r="S36" s="33">
        <v>1</v>
      </c>
      <c r="T36" s="33">
        <v>0</v>
      </c>
      <c r="U36" s="21">
        <f t="shared" si="0"/>
        <v>3</v>
      </c>
      <c r="V36" s="33">
        <v>1</v>
      </c>
      <c r="W36" s="33">
        <v>1</v>
      </c>
      <c r="X36" s="33">
        <v>1</v>
      </c>
      <c r="Y36" s="33">
        <v>0</v>
      </c>
      <c r="Z36" s="33" t="s">
        <v>299</v>
      </c>
      <c r="AA36" s="33" t="s">
        <v>190</v>
      </c>
      <c r="AB36" s="22" t="s">
        <v>236</v>
      </c>
    </row>
    <row r="37" spans="1:28" s="22" customFormat="1" x14ac:dyDescent="0.2">
      <c r="A37" s="12" t="s">
        <v>44</v>
      </c>
      <c r="B37" s="12" t="s">
        <v>166</v>
      </c>
      <c r="C37" s="12" t="s">
        <v>170</v>
      </c>
      <c r="D37" s="12" t="s">
        <v>7</v>
      </c>
      <c r="E37" s="12" t="s">
        <v>7</v>
      </c>
      <c r="F37" s="12" t="s">
        <v>8</v>
      </c>
      <c r="G37" s="14">
        <v>12.878376007080078</v>
      </c>
      <c r="H37" s="15">
        <v>12.723613739013672</v>
      </c>
      <c r="I37" s="16" t="s">
        <v>189</v>
      </c>
      <c r="J37" s="17">
        <v>16.557781219482422</v>
      </c>
      <c r="K37" s="18" t="s">
        <v>7</v>
      </c>
      <c r="L37" s="19" t="s">
        <v>8</v>
      </c>
      <c r="M37" s="20" t="s">
        <v>10</v>
      </c>
      <c r="N37" s="20" t="s">
        <v>7</v>
      </c>
      <c r="O37" s="20" t="s">
        <v>7</v>
      </c>
      <c r="P37" s="21">
        <f>SUM(Q37:T37)</f>
        <v>3</v>
      </c>
      <c r="Q37" s="33">
        <v>1</v>
      </c>
      <c r="R37" s="33">
        <v>1</v>
      </c>
      <c r="S37" s="33">
        <v>1</v>
      </c>
      <c r="T37" s="33">
        <v>0</v>
      </c>
      <c r="U37" s="21">
        <f t="shared" si="0"/>
        <v>3</v>
      </c>
      <c r="V37" s="33">
        <v>1</v>
      </c>
      <c r="W37" s="33">
        <v>1</v>
      </c>
      <c r="X37" s="33">
        <v>1</v>
      </c>
      <c r="Y37" s="33">
        <v>0</v>
      </c>
      <c r="Z37" s="33" t="s">
        <v>299</v>
      </c>
      <c r="AA37" s="33" t="s">
        <v>189</v>
      </c>
      <c r="AB37" s="22" t="s">
        <v>240</v>
      </c>
    </row>
    <row r="38" spans="1:28" s="22" customFormat="1" x14ac:dyDescent="0.2">
      <c r="A38" s="12" t="s">
        <v>45</v>
      </c>
      <c r="B38" s="12" t="s">
        <v>166</v>
      </c>
      <c r="C38" s="12" t="s">
        <v>170</v>
      </c>
      <c r="D38" s="12" t="s">
        <v>7</v>
      </c>
      <c r="E38" s="12" t="s">
        <v>8</v>
      </c>
      <c r="F38" s="12" t="s">
        <v>7</v>
      </c>
      <c r="G38" s="14">
        <v>26.578512191772461</v>
      </c>
      <c r="H38" s="15">
        <v>25.63170051574707</v>
      </c>
      <c r="I38" s="16" t="s">
        <v>189</v>
      </c>
      <c r="J38" s="17">
        <v>19.558780670166016</v>
      </c>
      <c r="K38" s="18" t="s">
        <v>7</v>
      </c>
      <c r="L38" s="19" t="s">
        <v>8</v>
      </c>
      <c r="M38" s="20" t="s">
        <v>10</v>
      </c>
      <c r="N38" s="20" t="s">
        <v>7</v>
      </c>
      <c r="O38" s="20" t="s">
        <v>8</v>
      </c>
      <c r="P38" s="21">
        <f>SUM(Q38:T38)</f>
        <v>0</v>
      </c>
      <c r="Q38" s="21">
        <v>0</v>
      </c>
      <c r="R38" s="21">
        <v>0</v>
      </c>
      <c r="S38" s="21">
        <v>0</v>
      </c>
      <c r="T38" s="21">
        <v>0</v>
      </c>
      <c r="U38" s="21">
        <f t="shared" si="0"/>
        <v>3</v>
      </c>
      <c r="V38" s="33">
        <v>1</v>
      </c>
      <c r="W38" s="33">
        <v>1</v>
      </c>
      <c r="X38" s="33">
        <v>1</v>
      </c>
      <c r="Y38" s="33">
        <v>0</v>
      </c>
      <c r="Z38" s="33" t="s">
        <v>299</v>
      </c>
      <c r="AA38" s="33" t="s">
        <v>10</v>
      </c>
    </row>
    <row r="39" spans="1:28" s="22" customFormat="1" x14ac:dyDescent="0.2">
      <c r="A39" s="12" t="s">
        <v>46</v>
      </c>
      <c r="B39" s="12" t="s">
        <v>166</v>
      </c>
      <c r="C39" s="12" t="s">
        <v>170</v>
      </c>
      <c r="D39" s="13" t="s">
        <v>7</v>
      </c>
      <c r="E39" s="13" t="s">
        <v>7</v>
      </c>
      <c r="F39" s="12" t="s">
        <v>8</v>
      </c>
      <c r="G39" s="14">
        <v>14.616909980773926</v>
      </c>
      <c r="H39" s="15">
        <v>15.964468955993652</v>
      </c>
      <c r="I39" s="16" t="s">
        <v>189</v>
      </c>
      <c r="J39" s="17">
        <v>18.368270874023438</v>
      </c>
      <c r="K39" s="18" t="s">
        <v>7</v>
      </c>
      <c r="L39" s="19" t="s">
        <v>7</v>
      </c>
      <c r="M39" s="20" t="s">
        <v>7</v>
      </c>
      <c r="N39" s="20" t="s">
        <v>7</v>
      </c>
      <c r="O39" s="20" t="s">
        <v>7</v>
      </c>
      <c r="P39" s="21">
        <f>SUM(Q39:T39)</f>
        <v>4</v>
      </c>
      <c r="Q39" s="33">
        <v>1</v>
      </c>
      <c r="R39" s="21">
        <v>1</v>
      </c>
      <c r="S39" s="21">
        <v>1</v>
      </c>
      <c r="T39" s="33">
        <v>1</v>
      </c>
      <c r="U39" s="21">
        <f t="shared" si="0"/>
        <v>4</v>
      </c>
      <c r="V39" s="33">
        <v>1</v>
      </c>
      <c r="W39" s="21">
        <v>1</v>
      </c>
      <c r="X39" s="21">
        <v>1</v>
      </c>
      <c r="Y39" s="33">
        <v>1</v>
      </c>
      <c r="Z39" s="33" t="s">
        <v>299</v>
      </c>
      <c r="AA39" s="33" t="s">
        <v>189</v>
      </c>
      <c r="AB39" s="22" t="s">
        <v>241</v>
      </c>
    </row>
    <row r="40" spans="1:28" s="22" customFormat="1" x14ac:dyDescent="0.2">
      <c r="A40" s="12" t="s">
        <v>47</v>
      </c>
      <c r="B40" s="12" t="s">
        <v>166</v>
      </c>
      <c r="C40" s="12" t="s">
        <v>170</v>
      </c>
      <c r="D40" s="13" t="s">
        <v>7</v>
      </c>
      <c r="E40" s="13" t="s">
        <v>7</v>
      </c>
      <c r="F40" s="12" t="s">
        <v>8</v>
      </c>
      <c r="G40" s="14">
        <v>23.38890266418457</v>
      </c>
      <c r="H40" s="15">
        <v>24.107908248901367</v>
      </c>
      <c r="I40" s="16" t="s">
        <v>189</v>
      </c>
      <c r="J40" s="17">
        <v>19.61778450012207</v>
      </c>
      <c r="K40" s="18" t="s">
        <v>7</v>
      </c>
      <c r="L40" s="21" t="s">
        <v>8</v>
      </c>
      <c r="M40" s="21" t="s">
        <v>8</v>
      </c>
      <c r="N40" s="21" t="s">
        <v>7</v>
      </c>
      <c r="O40" s="21" t="s">
        <v>8</v>
      </c>
      <c r="P40" s="21">
        <f>SUM(Q40:T40)</f>
        <v>0</v>
      </c>
      <c r="Q40" s="21">
        <v>0</v>
      </c>
      <c r="R40" s="21">
        <v>0</v>
      </c>
      <c r="S40" s="21">
        <v>0</v>
      </c>
      <c r="T40" s="21">
        <v>0</v>
      </c>
      <c r="U40" s="21">
        <f t="shared" si="0"/>
        <v>4</v>
      </c>
      <c r="V40" s="21">
        <v>1</v>
      </c>
      <c r="W40" s="21">
        <v>1</v>
      </c>
      <c r="X40" s="21">
        <v>1</v>
      </c>
      <c r="Y40" s="21">
        <v>1</v>
      </c>
      <c r="Z40" s="21" t="s">
        <v>299</v>
      </c>
      <c r="AA40" s="21" t="s">
        <v>10</v>
      </c>
    </row>
    <row r="41" spans="1:28" s="22" customFormat="1" x14ac:dyDescent="0.2">
      <c r="A41" s="12" t="s">
        <v>48</v>
      </c>
      <c r="B41" s="12" t="s">
        <v>166</v>
      </c>
      <c r="C41" s="12" t="s">
        <v>170</v>
      </c>
      <c r="D41" s="13" t="s">
        <v>7</v>
      </c>
      <c r="E41" s="13" t="s">
        <v>7</v>
      </c>
      <c r="F41" s="12" t="s">
        <v>8</v>
      </c>
      <c r="G41" s="14">
        <v>12.851833343505859</v>
      </c>
      <c r="H41" s="15">
        <v>13.335805892944336</v>
      </c>
      <c r="I41" s="16" t="s">
        <v>189</v>
      </c>
      <c r="J41" s="17">
        <v>14.453315734863281</v>
      </c>
      <c r="K41" s="18" t="s">
        <v>7</v>
      </c>
      <c r="L41" s="19" t="s">
        <v>7</v>
      </c>
      <c r="M41" s="20" t="s">
        <v>7</v>
      </c>
      <c r="N41" s="20" t="s">
        <v>7</v>
      </c>
      <c r="O41" s="20" t="s">
        <v>7</v>
      </c>
      <c r="P41" s="21">
        <f>SUM(Q41:T41)</f>
        <v>4</v>
      </c>
      <c r="Q41" s="33">
        <v>1</v>
      </c>
      <c r="R41" s="33">
        <v>1</v>
      </c>
      <c r="S41" s="33">
        <v>1</v>
      </c>
      <c r="T41" s="33">
        <v>1</v>
      </c>
      <c r="U41" s="21">
        <f t="shared" si="0"/>
        <v>4</v>
      </c>
      <c r="V41" s="33">
        <v>1</v>
      </c>
      <c r="W41" s="33">
        <v>1</v>
      </c>
      <c r="X41" s="33">
        <v>1</v>
      </c>
      <c r="Y41" s="33">
        <v>1</v>
      </c>
      <c r="Z41" s="33" t="s">
        <v>299</v>
      </c>
      <c r="AA41" s="33" t="s">
        <v>189</v>
      </c>
      <c r="AB41" s="22" t="s">
        <v>197</v>
      </c>
    </row>
    <row r="42" spans="1:28" s="22" customFormat="1" x14ac:dyDescent="0.2">
      <c r="A42" s="12" t="s">
        <v>49</v>
      </c>
      <c r="B42" s="12" t="s">
        <v>166</v>
      </c>
      <c r="C42" s="12" t="s">
        <v>170</v>
      </c>
      <c r="D42" s="13" t="s">
        <v>8</v>
      </c>
      <c r="E42" s="13" t="s">
        <v>10</v>
      </c>
      <c r="F42" s="12" t="s">
        <v>7</v>
      </c>
      <c r="G42" s="14">
        <v>26.19007682800293</v>
      </c>
      <c r="H42" s="15">
        <v>26.713638305664062</v>
      </c>
      <c r="I42" s="16" t="s">
        <v>189</v>
      </c>
      <c r="J42" s="17">
        <v>15.122735977172852</v>
      </c>
      <c r="K42" s="18" t="s">
        <v>7</v>
      </c>
      <c r="L42" s="19" t="s">
        <v>8</v>
      </c>
      <c r="M42" s="20" t="s">
        <v>10</v>
      </c>
      <c r="N42" s="20" t="s">
        <v>8</v>
      </c>
      <c r="O42" s="20" t="s">
        <v>10</v>
      </c>
      <c r="P42" s="21">
        <f>SUM(Q42:T42)</f>
        <v>0</v>
      </c>
      <c r="Q42" s="21">
        <v>0</v>
      </c>
      <c r="R42" s="21">
        <v>0</v>
      </c>
      <c r="S42" s="21">
        <v>0</v>
      </c>
      <c r="T42" s="21">
        <v>0</v>
      </c>
      <c r="U42" s="21">
        <f t="shared" si="0"/>
        <v>1</v>
      </c>
      <c r="V42" s="21">
        <v>0</v>
      </c>
      <c r="W42" s="21">
        <v>1</v>
      </c>
      <c r="X42" s="21">
        <v>0</v>
      </c>
      <c r="Y42" s="21">
        <v>0</v>
      </c>
      <c r="Z42" s="21" t="s">
        <v>299</v>
      </c>
      <c r="AA42" s="21" t="s">
        <v>10</v>
      </c>
    </row>
    <row r="43" spans="1:28" s="22" customFormat="1" x14ac:dyDescent="0.2">
      <c r="A43" s="12" t="s">
        <v>50</v>
      </c>
      <c r="B43" s="12" t="s">
        <v>166</v>
      </c>
      <c r="C43" s="12" t="s">
        <v>170</v>
      </c>
      <c r="D43" s="13" t="s">
        <v>7</v>
      </c>
      <c r="E43" s="13" t="s">
        <v>7</v>
      </c>
      <c r="F43" s="12" t="s">
        <v>8</v>
      </c>
      <c r="G43" s="14">
        <v>33.213000000000001</v>
      </c>
      <c r="H43" s="15">
        <v>18.279935836791992</v>
      </c>
      <c r="I43" s="16" t="s">
        <v>190</v>
      </c>
      <c r="J43" s="17">
        <v>16.669673919677734</v>
      </c>
      <c r="K43" s="18" t="s">
        <v>7</v>
      </c>
      <c r="L43" s="19" t="s">
        <v>8</v>
      </c>
      <c r="M43" s="20" t="s">
        <v>10</v>
      </c>
      <c r="N43" s="20" t="s">
        <v>7</v>
      </c>
      <c r="O43" s="20" t="s">
        <v>7</v>
      </c>
      <c r="P43" s="21">
        <f>SUM(Q43:T43)</f>
        <v>4</v>
      </c>
      <c r="Q43" s="20">
        <v>1</v>
      </c>
      <c r="R43" s="21">
        <v>2</v>
      </c>
      <c r="S43" s="21">
        <v>1</v>
      </c>
      <c r="T43" s="21">
        <v>0</v>
      </c>
      <c r="U43" s="21">
        <f t="shared" si="0"/>
        <v>4</v>
      </c>
      <c r="V43" s="21">
        <v>1</v>
      </c>
      <c r="W43" s="21">
        <v>2</v>
      </c>
      <c r="X43" s="21">
        <v>1</v>
      </c>
      <c r="Y43" s="21">
        <v>0</v>
      </c>
      <c r="Z43" s="21" t="s">
        <v>298</v>
      </c>
      <c r="AA43" s="21" t="s">
        <v>190</v>
      </c>
      <c r="AB43" s="22" t="s">
        <v>198</v>
      </c>
    </row>
    <row r="44" spans="1:28" s="22" customFormat="1" x14ac:dyDescent="0.2">
      <c r="A44" s="12" t="s">
        <v>51</v>
      </c>
      <c r="B44" s="12" t="s">
        <v>166</v>
      </c>
      <c r="C44" s="12" t="s">
        <v>170</v>
      </c>
      <c r="D44" s="13" t="s">
        <v>7</v>
      </c>
      <c r="E44" s="13" t="s">
        <v>7</v>
      </c>
      <c r="F44" s="12" t="s">
        <v>8</v>
      </c>
      <c r="G44" s="14">
        <v>9.6743440628051758</v>
      </c>
      <c r="H44" s="15">
        <v>9.5784788131713867</v>
      </c>
      <c r="I44" s="16" t="s">
        <v>189</v>
      </c>
      <c r="J44" s="17">
        <v>15.016074180603027</v>
      </c>
      <c r="K44" s="18" t="s">
        <v>7</v>
      </c>
      <c r="L44" s="19" t="s">
        <v>7</v>
      </c>
      <c r="M44" s="20" t="s">
        <v>7</v>
      </c>
      <c r="N44" s="20" t="s">
        <v>7</v>
      </c>
      <c r="O44" s="21" t="s">
        <v>8</v>
      </c>
      <c r="P44" s="21">
        <f>SUM(Q44:T44)</f>
        <v>5</v>
      </c>
      <c r="Q44" s="33">
        <v>1</v>
      </c>
      <c r="R44" s="21">
        <v>1</v>
      </c>
      <c r="S44" s="33">
        <v>2</v>
      </c>
      <c r="T44" s="33">
        <v>1</v>
      </c>
      <c r="U44" s="21">
        <f t="shared" si="0"/>
        <v>5</v>
      </c>
      <c r="V44" s="21">
        <v>1</v>
      </c>
      <c r="W44" s="21">
        <v>1</v>
      </c>
      <c r="X44" s="21">
        <v>2</v>
      </c>
      <c r="Y44" s="21">
        <v>1</v>
      </c>
      <c r="Z44" s="21" t="s">
        <v>298</v>
      </c>
      <c r="AA44" s="21" t="s">
        <v>189</v>
      </c>
      <c r="AB44" s="22" t="s">
        <v>199</v>
      </c>
    </row>
    <row r="45" spans="1:28" s="22" customFormat="1" x14ac:dyDescent="0.2">
      <c r="A45" s="12" t="s">
        <v>52</v>
      </c>
      <c r="B45" s="12" t="s">
        <v>166</v>
      </c>
      <c r="C45" s="12" t="s">
        <v>170</v>
      </c>
      <c r="D45" s="13" t="s">
        <v>7</v>
      </c>
      <c r="E45" s="13" t="s">
        <v>8</v>
      </c>
      <c r="F45" s="12" t="s">
        <v>7</v>
      </c>
      <c r="G45" s="14">
        <v>24.750720977783203</v>
      </c>
      <c r="H45" s="15">
        <v>24.557769775390625</v>
      </c>
      <c r="I45" s="16" t="s">
        <v>189</v>
      </c>
      <c r="J45" s="17">
        <v>15.43173885345459</v>
      </c>
      <c r="K45" s="18" t="s">
        <v>7</v>
      </c>
      <c r="L45" s="19" t="s">
        <v>8</v>
      </c>
      <c r="M45" s="20" t="s">
        <v>10</v>
      </c>
      <c r="N45" s="20" t="s">
        <v>7</v>
      </c>
      <c r="O45" s="20" t="s">
        <v>8</v>
      </c>
      <c r="P45" s="21">
        <f>SUM(Q45:T45)</f>
        <v>0</v>
      </c>
      <c r="Q45" s="21">
        <v>0</v>
      </c>
      <c r="R45" s="21">
        <v>0</v>
      </c>
      <c r="S45" s="21">
        <v>0</v>
      </c>
      <c r="T45" s="21">
        <v>0</v>
      </c>
      <c r="U45" s="21">
        <f t="shared" si="0"/>
        <v>2</v>
      </c>
      <c r="V45" s="21">
        <v>1</v>
      </c>
      <c r="W45" s="21">
        <v>1</v>
      </c>
      <c r="X45" s="21">
        <v>0</v>
      </c>
      <c r="Y45" s="21">
        <v>0</v>
      </c>
      <c r="Z45" s="21" t="s">
        <v>299</v>
      </c>
      <c r="AA45" s="21" t="s">
        <v>10</v>
      </c>
    </row>
    <row r="46" spans="1:28" s="22" customFormat="1" x14ac:dyDescent="0.2">
      <c r="A46" s="11" t="s">
        <v>53</v>
      </c>
      <c r="B46" s="12" t="s">
        <v>166</v>
      </c>
      <c r="C46" s="12" t="s">
        <v>170</v>
      </c>
      <c r="D46" s="13" t="s">
        <v>7</v>
      </c>
      <c r="E46" s="13" t="s">
        <v>7</v>
      </c>
      <c r="F46" s="12" t="s">
        <v>8</v>
      </c>
      <c r="G46" s="14">
        <v>12.921422958374023</v>
      </c>
      <c r="H46" s="34">
        <v>13.581</v>
      </c>
      <c r="I46" s="35" t="s">
        <v>189</v>
      </c>
      <c r="J46" s="38">
        <v>16.399000000000001</v>
      </c>
      <c r="K46" s="18" t="s">
        <v>7</v>
      </c>
      <c r="L46" s="19" t="s">
        <v>8</v>
      </c>
      <c r="M46" s="20" t="s">
        <v>10</v>
      </c>
      <c r="N46" s="20" t="s">
        <v>7</v>
      </c>
      <c r="O46" s="20" t="s">
        <v>7</v>
      </c>
      <c r="P46" s="21">
        <f>SUM(Q46:T46)</f>
        <v>3</v>
      </c>
      <c r="Q46" s="33">
        <v>1</v>
      </c>
      <c r="R46" s="21">
        <v>1</v>
      </c>
      <c r="S46" s="21">
        <v>1</v>
      </c>
      <c r="T46" s="21">
        <v>0</v>
      </c>
      <c r="U46" s="21">
        <f t="shared" si="0"/>
        <v>3</v>
      </c>
      <c r="V46" s="33">
        <v>1</v>
      </c>
      <c r="W46" s="21">
        <v>1</v>
      </c>
      <c r="X46" s="21">
        <v>1</v>
      </c>
      <c r="Y46" s="21">
        <v>0</v>
      </c>
      <c r="Z46" s="21" t="s">
        <v>299</v>
      </c>
      <c r="AA46" s="21" t="s">
        <v>189</v>
      </c>
      <c r="AB46" s="22" t="s">
        <v>200</v>
      </c>
    </row>
    <row r="47" spans="1:28" s="22" customFormat="1" x14ac:dyDescent="0.2">
      <c r="A47" s="11" t="s">
        <v>54</v>
      </c>
      <c r="B47" s="12" t="s">
        <v>166</v>
      </c>
      <c r="C47" s="12" t="s">
        <v>170</v>
      </c>
      <c r="D47" s="13" t="s">
        <v>7</v>
      </c>
      <c r="E47" s="13" t="s">
        <v>8</v>
      </c>
      <c r="F47" s="12" t="s">
        <v>7</v>
      </c>
      <c r="G47" s="14">
        <v>25.160028457641602</v>
      </c>
      <c r="H47" s="34">
        <v>25.715</v>
      </c>
      <c r="I47" s="35" t="s">
        <v>189</v>
      </c>
      <c r="J47" s="38">
        <v>17.399999999999999</v>
      </c>
      <c r="K47" s="18" t="s">
        <v>7</v>
      </c>
      <c r="L47" s="19" t="s">
        <v>8</v>
      </c>
      <c r="M47" s="20" t="s">
        <v>10</v>
      </c>
      <c r="N47" s="20" t="s">
        <v>7</v>
      </c>
      <c r="O47" s="20" t="s">
        <v>8</v>
      </c>
      <c r="P47" s="21">
        <f>SUM(Q47:T47)</f>
        <v>0</v>
      </c>
      <c r="Q47" s="21">
        <v>0</v>
      </c>
      <c r="R47" s="21">
        <v>0</v>
      </c>
      <c r="S47" s="21">
        <v>0</v>
      </c>
      <c r="T47" s="21">
        <v>0</v>
      </c>
      <c r="U47" s="21">
        <f t="shared" si="0"/>
        <v>3</v>
      </c>
      <c r="V47" s="33">
        <v>1</v>
      </c>
      <c r="W47" s="21">
        <v>1</v>
      </c>
      <c r="X47" s="21">
        <v>1</v>
      </c>
      <c r="Y47" s="21">
        <v>0</v>
      </c>
      <c r="Z47" s="21" t="s">
        <v>299</v>
      </c>
      <c r="AA47" s="21" t="s">
        <v>10</v>
      </c>
    </row>
    <row r="48" spans="1:28" s="22" customFormat="1" x14ac:dyDescent="0.2">
      <c r="A48" s="12" t="s">
        <v>55</v>
      </c>
      <c r="B48" s="12" t="s">
        <v>166</v>
      </c>
      <c r="C48" s="12" t="s">
        <v>170</v>
      </c>
      <c r="D48" s="13" t="s">
        <v>7</v>
      </c>
      <c r="E48" s="13" t="s">
        <v>7</v>
      </c>
      <c r="F48" s="12" t="s">
        <v>8</v>
      </c>
      <c r="G48" s="14">
        <v>30.317989349365234</v>
      </c>
      <c r="H48" s="15">
        <v>17.667194366455078</v>
      </c>
      <c r="I48" s="16" t="s">
        <v>190</v>
      </c>
      <c r="J48" s="17">
        <v>14.143238067626953</v>
      </c>
      <c r="K48" s="18" t="s">
        <v>7</v>
      </c>
      <c r="L48" s="19" t="s">
        <v>8</v>
      </c>
      <c r="M48" s="20" t="s">
        <v>10</v>
      </c>
      <c r="N48" s="20" t="s">
        <v>7</v>
      </c>
      <c r="O48" s="20" t="s">
        <v>7</v>
      </c>
      <c r="P48" s="21">
        <f>SUM(Q48:T48)</f>
        <v>3</v>
      </c>
      <c r="Q48" s="33">
        <v>1</v>
      </c>
      <c r="R48" s="21">
        <v>1</v>
      </c>
      <c r="S48" s="21">
        <v>1</v>
      </c>
      <c r="T48" s="21">
        <v>0</v>
      </c>
      <c r="U48" s="21">
        <f t="shared" si="0"/>
        <v>4</v>
      </c>
      <c r="V48" s="33">
        <v>1</v>
      </c>
      <c r="W48" s="21">
        <v>2</v>
      </c>
      <c r="X48" s="21">
        <v>1</v>
      </c>
      <c r="Y48" s="21">
        <v>0</v>
      </c>
      <c r="Z48" s="21" t="s">
        <v>298</v>
      </c>
      <c r="AA48" s="21" t="s">
        <v>190</v>
      </c>
      <c r="AB48" s="22" t="s">
        <v>201</v>
      </c>
    </row>
    <row r="49" spans="1:28" s="22" customFormat="1" x14ac:dyDescent="0.2">
      <c r="A49" s="12" t="s">
        <v>56</v>
      </c>
      <c r="B49" s="12" t="s">
        <v>166</v>
      </c>
      <c r="C49" s="12" t="s">
        <v>170</v>
      </c>
      <c r="D49" s="13" t="s">
        <v>7</v>
      </c>
      <c r="E49" s="13" t="s">
        <v>7</v>
      </c>
      <c r="F49" s="12" t="s">
        <v>8</v>
      </c>
      <c r="G49" s="14">
        <v>13.2449789047241</v>
      </c>
      <c r="H49" s="15">
        <v>12.302685737609863</v>
      </c>
      <c r="I49" s="16" t="s">
        <v>189</v>
      </c>
      <c r="J49" s="17">
        <v>14.374777793884277</v>
      </c>
      <c r="K49" s="18" t="s">
        <v>7</v>
      </c>
      <c r="L49" s="19" t="s">
        <v>7</v>
      </c>
      <c r="M49" s="20" t="s">
        <v>7</v>
      </c>
      <c r="N49" s="20" t="s">
        <v>7</v>
      </c>
      <c r="O49" s="20" t="s">
        <v>7</v>
      </c>
      <c r="P49" s="21">
        <f>SUM(Q49:T49)</f>
        <v>4</v>
      </c>
      <c r="Q49" s="33">
        <v>1</v>
      </c>
      <c r="R49" s="21">
        <v>1</v>
      </c>
      <c r="S49" s="21">
        <v>1</v>
      </c>
      <c r="T49" s="33">
        <v>1</v>
      </c>
      <c r="U49" s="21">
        <f t="shared" si="0"/>
        <v>4</v>
      </c>
      <c r="V49" s="33">
        <v>1</v>
      </c>
      <c r="W49" s="21">
        <v>1</v>
      </c>
      <c r="X49" s="21">
        <v>1</v>
      </c>
      <c r="Y49" s="33">
        <v>1</v>
      </c>
      <c r="Z49" s="33" t="s">
        <v>299</v>
      </c>
      <c r="AA49" s="33" t="s">
        <v>189</v>
      </c>
      <c r="AB49" s="22" t="s">
        <v>202</v>
      </c>
    </row>
    <row r="50" spans="1:28" s="22" customFormat="1" x14ac:dyDescent="0.2">
      <c r="A50" s="12" t="s">
        <v>57</v>
      </c>
      <c r="B50" s="12" t="s">
        <v>166</v>
      </c>
      <c r="C50" s="12" t="s">
        <v>170</v>
      </c>
      <c r="D50" s="13" t="s">
        <v>8</v>
      </c>
      <c r="E50" s="13" t="s">
        <v>10</v>
      </c>
      <c r="F50" s="12" t="s">
        <v>8</v>
      </c>
      <c r="G50" s="14">
        <v>32.762432098388672</v>
      </c>
      <c r="H50" s="15">
        <v>17.024679183959961</v>
      </c>
      <c r="I50" s="16" t="s">
        <v>190</v>
      </c>
      <c r="J50" s="17">
        <v>16.927555084228516</v>
      </c>
      <c r="K50" s="18" t="s">
        <v>8</v>
      </c>
      <c r="L50" s="19" t="s">
        <v>8</v>
      </c>
      <c r="M50" s="20" t="s">
        <v>10</v>
      </c>
      <c r="N50" s="20" t="s">
        <v>8</v>
      </c>
      <c r="O50" s="20" t="s">
        <v>10</v>
      </c>
      <c r="P50" s="21">
        <f>SUM(Q50:T50)</f>
        <v>0</v>
      </c>
      <c r="Q50" s="21">
        <v>0</v>
      </c>
      <c r="R50" s="21">
        <v>0</v>
      </c>
      <c r="S50" s="21">
        <v>0</v>
      </c>
      <c r="T50" s="21">
        <v>0</v>
      </c>
      <c r="U50" s="21">
        <f t="shared" si="0"/>
        <v>0</v>
      </c>
      <c r="V50" s="21">
        <v>0</v>
      </c>
      <c r="W50" s="21">
        <v>0</v>
      </c>
      <c r="X50" s="21">
        <v>0</v>
      </c>
      <c r="Y50" s="21">
        <v>0</v>
      </c>
      <c r="Z50" s="21" t="s">
        <v>10</v>
      </c>
      <c r="AA50" s="21" t="s">
        <v>10</v>
      </c>
    </row>
    <row r="51" spans="1:28" s="22" customFormat="1" x14ac:dyDescent="0.2">
      <c r="A51" s="11" t="s">
        <v>58</v>
      </c>
      <c r="B51" s="12" t="s">
        <v>166</v>
      </c>
      <c r="C51" s="12" t="s">
        <v>170</v>
      </c>
      <c r="D51" s="13" t="s">
        <v>7</v>
      </c>
      <c r="E51" s="13" t="s">
        <v>7</v>
      </c>
      <c r="F51" s="12" t="s">
        <v>8</v>
      </c>
      <c r="G51" s="14">
        <v>12.428106307983398</v>
      </c>
      <c r="H51" s="34">
        <v>13.361000000000001</v>
      </c>
      <c r="I51" s="35" t="s">
        <v>189</v>
      </c>
      <c r="J51" s="38">
        <v>17.777000000000001</v>
      </c>
      <c r="K51" s="18" t="s">
        <v>7</v>
      </c>
      <c r="L51" s="19" t="s">
        <v>8</v>
      </c>
      <c r="M51" s="20" t="s">
        <v>10</v>
      </c>
      <c r="N51" s="20" t="s">
        <v>7</v>
      </c>
      <c r="O51" s="20" t="s">
        <v>7</v>
      </c>
      <c r="P51" s="21">
        <f>SUM(Q51:T51)</f>
        <v>3</v>
      </c>
      <c r="Q51" s="33">
        <v>1</v>
      </c>
      <c r="R51" s="21">
        <v>1</v>
      </c>
      <c r="S51" s="21">
        <v>1</v>
      </c>
      <c r="T51" s="21">
        <v>0</v>
      </c>
      <c r="U51" s="21">
        <f t="shared" si="0"/>
        <v>3</v>
      </c>
      <c r="V51" s="33">
        <v>1</v>
      </c>
      <c r="W51" s="21">
        <v>1</v>
      </c>
      <c r="X51" s="21">
        <v>1</v>
      </c>
      <c r="Y51" s="21">
        <v>0</v>
      </c>
      <c r="Z51" s="21" t="s">
        <v>299</v>
      </c>
      <c r="AA51" s="21" t="s">
        <v>189</v>
      </c>
      <c r="AB51" s="22" t="s">
        <v>203</v>
      </c>
    </row>
    <row r="52" spans="1:28" s="22" customFormat="1" x14ac:dyDescent="0.2">
      <c r="A52" s="11" t="s">
        <v>59</v>
      </c>
      <c r="B52" s="12" t="s">
        <v>166</v>
      </c>
      <c r="C52" s="12" t="s">
        <v>170</v>
      </c>
      <c r="D52" s="13" t="s">
        <v>7</v>
      </c>
      <c r="E52" s="13" t="s">
        <v>8</v>
      </c>
      <c r="F52" s="12" t="s">
        <v>7</v>
      </c>
      <c r="G52" s="14">
        <v>25.584945678710938</v>
      </c>
      <c r="H52" s="34">
        <v>26.234999999999999</v>
      </c>
      <c r="I52" s="35" t="s">
        <v>189</v>
      </c>
      <c r="J52" s="38">
        <v>17.72</v>
      </c>
      <c r="K52" s="18" t="s">
        <v>7</v>
      </c>
      <c r="L52" s="19" t="s">
        <v>7</v>
      </c>
      <c r="M52" s="20" t="s">
        <v>10</v>
      </c>
      <c r="N52" s="20" t="s">
        <v>8</v>
      </c>
      <c r="O52" s="20" t="s">
        <v>10</v>
      </c>
      <c r="P52" s="21">
        <f>SUM(Q52:T52)</f>
        <v>0</v>
      </c>
      <c r="Q52" s="21">
        <v>0</v>
      </c>
      <c r="R52" s="21">
        <v>0</v>
      </c>
      <c r="S52" s="21">
        <v>0</v>
      </c>
      <c r="T52" s="21">
        <v>0</v>
      </c>
      <c r="U52" s="21">
        <f t="shared" si="0"/>
        <v>3</v>
      </c>
      <c r="V52" s="33">
        <v>0</v>
      </c>
      <c r="W52" s="21">
        <v>1</v>
      </c>
      <c r="X52" s="21">
        <v>1</v>
      </c>
      <c r="Y52" s="21">
        <v>1</v>
      </c>
      <c r="Z52" s="21" t="s">
        <v>299</v>
      </c>
      <c r="AA52" s="21" t="s">
        <v>10</v>
      </c>
    </row>
    <row r="53" spans="1:28" s="22" customFormat="1" x14ac:dyDescent="0.2">
      <c r="A53" s="11" t="s">
        <v>60</v>
      </c>
      <c r="B53" s="12" t="s">
        <v>166</v>
      </c>
      <c r="C53" s="12" t="s">
        <v>170</v>
      </c>
      <c r="D53" s="13" t="s">
        <v>7</v>
      </c>
      <c r="E53" s="13" t="s">
        <v>7</v>
      </c>
      <c r="F53" s="12" t="s">
        <v>8</v>
      </c>
      <c r="G53" s="14">
        <v>12.81742000579834</v>
      </c>
      <c r="H53" s="34">
        <v>13.657999999999999</v>
      </c>
      <c r="I53" s="35" t="s">
        <v>189</v>
      </c>
      <c r="J53" s="38">
        <v>17.629000000000001</v>
      </c>
      <c r="K53" s="18" t="s">
        <v>7</v>
      </c>
      <c r="L53" s="19" t="s">
        <v>7</v>
      </c>
      <c r="M53" s="20" t="s">
        <v>7</v>
      </c>
      <c r="N53" s="20" t="s">
        <v>7</v>
      </c>
      <c r="O53" s="20" t="s">
        <v>7</v>
      </c>
      <c r="P53" s="21">
        <f>SUM(Q53:T53)</f>
        <v>4</v>
      </c>
      <c r="Q53" s="33">
        <v>1</v>
      </c>
      <c r="R53" s="21">
        <v>1</v>
      </c>
      <c r="S53" s="21">
        <v>1</v>
      </c>
      <c r="T53" s="33">
        <v>1</v>
      </c>
      <c r="U53" s="21">
        <f t="shared" si="0"/>
        <v>4</v>
      </c>
      <c r="V53" s="33">
        <v>1</v>
      </c>
      <c r="W53" s="21">
        <v>1</v>
      </c>
      <c r="X53" s="21">
        <v>1</v>
      </c>
      <c r="Y53" s="33">
        <v>1</v>
      </c>
      <c r="Z53" s="33" t="s">
        <v>299</v>
      </c>
      <c r="AA53" s="33" t="s">
        <v>189</v>
      </c>
      <c r="AB53" s="22" t="s">
        <v>204</v>
      </c>
    </row>
    <row r="54" spans="1:28" s="22" customFormat="1" x14ac:dyDescent="0.2">
      <c r="A54" s="12" t="s">
        <v>61</v>
      </c>
      <c r="B54" s="12" t="s">
        <v>166</v>
      </c>
      <c r="C54" s="12" t="s">
        <v>170</v>
      </c>
      <c r="D54" s="13" t="s">
        <v>8</v>
      </c>
      <c r="E54" s="13" t="s">
        <v>10</v>
      </c>
      <c r="F54" s="12" t="s">
        <v>7</v>
      </c>
      <c r="G54" s="14">
        <v>28.472379684448242</v>
      </c>
      <c r="H54" s="15">
        <v>27.032758712768555</v>
      </c>
      <c r="I54" s="16" t="s">
        <v>189</v>
      </c>
      <c r="J54" s="17">
        <v>16.777383804321289</v>
      </c>
      <c r="K54" s="18" t="s">
        <v>7</v>
      </c>
      <c r="L54" s="19" t="s">
        <v>8</v>
      </c>
      <c r="M54" s="20" t="s">
        <v>10</v>
      </c>
      <c r="N54" s="20" t="s">
        <v>8</v>
      </c>
      <c r="O54" s="20" t="s">
        <v>10</v>
      </c>
      <c r="P54" s="21">
        <f>SUM(Q54:T54)</f>
        <v>0</v>
      </c>
      <c r="Q54" s="21">
        <v>0</v>
      </c>
      <c r="R54" s="21">
        <v>0</v>
      </c>
      <c r="S54" s="21">
        <v>0</v>
      </c>
      <c r="T54" s="21">
        <v>0</v>
      </c>
      <c r="U54" s="21">
        <f t="shared" si="0"/>
        <v>0</v>
      </c>
      <c r="V54" s="21">
        <v>0</v>
      </c>
      <c r="W54" s="21">
        <v>0</v>
      </c>
      <c r="X54" s="21">
        <v>0</v>
      </c>
      <c r="Y54" s="21">
        <v>0</v>
      </c>
      <c r="Z54" s="21" t="s">
        <v>10</v>
      </c>
      <c r="AA54" s="21" t="s">
        <v>10</v>
      </c>
    </row>
    <row r="55" spans="1:28" s="22" customFormat="1" x14ac:dyDescent="0.2">
      <c r="A55" s="11" t="s">
        <v>62</v>
      </c>
      <c r="B55" s="12" t="s">
        <v>166</v>
      </c>
      <c r="C55" s="12" t="s">
        <v>170</v>
      </c>
      <c r="D55" s="13" t="s">
        <v>7</v>
      </c>
      <c r="E55" s="13" t="s">
        <v>7</v>
      </c>
      <c r="F55" s="12" t="s">
        <v>8</v>
      </c>
      <c r="G55" s="14">
        <v>28.702722549438477</v>
      </c>
      <c r="H55" s="34">
        <v>18.942</v>
      </c>
      <c r="I55" s="35" t="s">
        <v>189</v>
      </c>
      <c r="J55" s="38">
        <v>18.533999999999999</v>
      </c>
      <c r="K55" s="18" t="s">
        <v>7</v>
      </c>
      <c r="L55" s="19" t="s">
        <v>8</v>
      </c>
      <c r="M55" s="20" t="s">
        <v>10</v>
      </c>
      <c r="N55" s="20" t="s">
        <v>7</v>
      </c>
      <c r="O55" s="20" t="s">
        <v>7</v>
      </c>
      <c r="P55" s="21">
        <f>SUM(Q55:T55)</f>
        <v>4</v>
      </c>
      <c r="Q55" s="33">
        <v>1</v>
      </c>
      <c r="R55" s="21">
        <v>1</v>
      </c>
      <c r="S55" s="21">
        <v>2</v>
      </c>
      <c r="T55" s="21">
        <v>0</v>
      </c>
      <c r="U55" s="21">
        <f t="shared" si="0"/>
        <v>4</v>
      </c>
      <c r="V55" s="33">
        <v>1</v>
      </c>
      <c r="W55" s="21">
        <v>1</v>
      </c>
      <c r="X55" s="21">
        <v>2</v>
      </c>
      <c r="Y55" s="21">
        <v>0</v>
      </c>
      <c r="Z55" s="21" t="s">
        <v>298</v>
      </c>
      <c r="AA55" s="21" t="s">
        <v>302</v>
      </c>
      <c r="AB55" s="22" t="s">
        <v>205</v>
      </c>
    </row>
    <row r="56" spans="1:28" s="22" customFormat="1" x14ac:dyDescent="0.2">
      <c r="A56" s="11" t="s">
        <v>63</v>
      </c>
      <c r="B56" s="12" t="s">
        <v>166</v>
      </c>
      <c r="C56" s="12" t="s">
        <v>170</v>
      </c>
      <c r="D56" s="13" t="s">
        <v>7</v>
      </c>
      <c r="E56" s="13" t="s">
        <v>7</v>
      </c>
      <c r="F56" s="12" t="s">
        <v>8</v>
      </c>
      <c r="G56" s="14">
        <v>12.130474090576172</v>
      </c>
      <c r="H56" s="34">
        <v>13.473000000000001</v>
      </c>
      <c r="I56" s="35" t="s">
        <v>189</v>
      </c>
      <c r="J56" s="38">
        <v>17.911999999999999</v>
      </c>
      <c r="K56" s="18" t="s">
        <v>7</v>
      </c>
      <c r="L56" s="19" t="s">
        <v>7</v>
      </c>
      <c r="M56" s="20" t="s">
        <v>7</v>
      </c>
      <c r="N56" s="20" t="s">
        <v>7</v>
      </c>
      <c r="O56" s="20" t="s">
        <v>7</v>
      </c>
      <c r="P56" s="21">
        <f>SUM(Q56:T56)</f>
        <v>4</v>
      </c>
      <c r="Q56" s="33">
        <v>1</v>
      </c>
      <c r="R56" s="21">
        <v>1</v>
      </c>
      <c r="S56" s="21">
        <v>1</v>
      </c>
      <c r="T56" s="21">
        <v>1</v>
      </c>
      <c r="U56" s="21">
        <f t="shared" si="0"/>
        <v>4</v>
      </c>
      <c r="V56" s="33">
        <v>1</v>
      </c>
      <c r="W56" s="21">
        <v>1</v>
      </c>
      <c r="X56" s="21">
        <v>1</v>
      </c>
      <c r="Y56" s="21">
        <v>1</v>
      </c>
      <c r="Z56" s="21" t="s">
        <v>299</v>
      </c>
      <c r="AA56" s="21" t="s">
        <v>189</v>
      </c>
      <c r="AB56" s="22" t="s">
        <v>207</v>
      </c>
    </row>
    <row r="57" spans="1:28" s="22" customFormat="1" x14ac:dyDescent="0.2">
      <c r="A57" s="11" t="s">
        <v>64</v>
      </c>
      <c r="B57" s="12" t="s">
        <v>166</v>
      </c>
      <c r="C57" s="12" t="s">
        <v>170</v>
      </c>
      <c r="D57" s="13" t="s">
        <v>7</v>
      </c>
      <c r="E57" s="13" t="s">
        <v>7</v>
      </c>
      <c r="F57" s="12" t="s">
        <v>8</v>
      </c>
      <c r="G57" s="14">
        <v>12.472797393798828</v>
      </c>
      <c r="H57" s="34">
        <v>13.631</v>
      </c>
      <c r="I57" s="35" t="s">
        <v>189</v>
      </c>
      <c r="J57" s="38">
        <v>17.138000000000002</v>
      </c>
      <c r="K57" s="18" t="s">
        <v>7</v>
      </c>
      <c r="L57" s="19" t="s">
        <v>7</v>
      </c>
      <c r="M57" s="20" t="s">
        <v>7</v>
      </c>
      <c r="N57" s="20" t="s">
        <v>7</v>
      </c>
      <c r="O57" s="20" t="s">
        <v>7</v>
      </c>
      <c r="P57" s="21">
        <f>SUM(Q57:T57)</f>
        <v>4</v>
      </c>
      <c r="Q57" s="33">
        <v>1</v>
      </c>
      <c r="R57" s="21">
        <v>1</v>
      </c>
      <c r="S57" s="21">
        <v>1</v>
      </c>
      <c r="T57" s="33">
        <v>1</v>
      </c>
      <c r="U57" s="21">
        <f t="shared" si="0"/>
        <v>5</v>
      </c>
      <c r="V57" s="33">
        <v>1</v>
      </c>
      <c r="W57" s="21">
        <v>1</v>
      </c>
      <c r="X57" s="21">
        <v>2</v>
      </c>
      <c r="Y57" s="21">
        <v>1</v>
      </c>
      <c r="Z57" s="21" t="s">
        <v>298</v>
      </c>
      <c r="AA57" s="21" t="s">
        <v>189</v>
      </c>
      <c r="AB57" s="22" t="s">
        <v>206</v>
      </c>
    </row>
    <row r="58" spans="1:28" s="22" customFormat="1" x14ac:dyDescent="0.2">
      <c r="A58" s="11" t="s">
        <v>65</v>
      </c>
      <c r="B58" s="12" t="s">
        <v>166</v>
      </c>
      <c r="C58" s="12" t="s">
        <v>170</v>
      </c>
      <c r="D58" s="13" t="s">
        <v>7</v>
      </c>
      <c r="E58" s="13" t="s">
        <v>7</v>
      </c>
      <c r="F58" s="12" t="s">
        <v>8</v>
      </c>
      <c r="G58" s="14">
        <v>13.026846885681152</v>
      </c>
      <c r="H58" s="34">
        <v>13.997999999999999</v>
      </c>
      <c r="I58" s="35" t="s">
        <v>189</v>
      </c>
      <c r="J58" s="38">
        <v>18.170000000000002</v>
      </c>
      <c r="K58" s="18" t="s">
        <v>7</v>
      </c>
      <c r="L58" s="19" t="s">
        <v>7</v>
      </c>
      <c r="M58" s="20" t="s">
        <v>7</v>
      </c>
      <c r="N58" s="20" t="s">
        <v>7</v>
      </c>
      <c r="O58" s="20" t="s">
        <v>7</v>
      </c>
      <c r="P58" s="21">
        <f>SUM(Q58:T58)</f>
        <v>4</v>
      </c>
      <c r="Q58" s="33">
        <v>1</v>
      </c>
      <c r="R58" s="21">
        <v>1</v>
      </c>
      <c r="S58" s="21">
        <v>1</v>
      </c>
      <c r="T58" s="33">
        <v>1</v>
      </c>
      <c r="U58" s="21">
        <f t="shared" si="0"/>
        <v>4</v>
      </c>
      <c r="V58" s="33">
        <v>1</v>
      </c>
      <c r="W58" s="21">
        <v>1</v>
      </c>
      <c r="X58" s="21">
        <v>1</v>
      </c>
      <c r="Y58" s="33">
        <v>1</v>
      </c>
      <c r="Z58" s="33" t="s">
        <v>299</v>
      </c>
      <c r="AA58" s="33" t="s">
        <v>189</v>
      </c>
      <c r="AB58" s="22" t="s">
        <v>209</v>
      </c>
    </row>
    <row r="59" spans="1:28" s="22" customFormat="1" x14ac:dyDescent="0.2">
      <c r="A59" s="11" t="s">
        <v>66</v>
      </c>
      <c r="B59" s="12" t="s">
        <v>166</v>
      </c>
      <c r="C59" s="12" t="s">
        <v>170</v>
      </c>
      <c r="D59" s="13" t="s">
        <v>7</v>
      </c>
      <c r="E59" s="13" t="s">
        <v>7</v>
      </c>
      <c r="F59" s="12" t="s">
        <v>8</v>
      </c>
      <c r="G59" s="14">
        <v>8.871734619140625</v>
      </c>
      <c r="H59" s="34">
        <v>9.7650000000000006</v>
      </c>
      <c r="I59" s="35" t="s">
        <v>189</v>
      </c>
      <c r="J59" s="38">
        <v>16.776</v>
      </c>
      <c r="K59" s="18" t="s">
        <v>7</v>
      </c>
      <c r="L59" s="19" t="s">
        <v>7</v>
      </c>
      <c r="M59" s="20" t="s">
        <v>7</v>
      </c>
      <c r="N59" s="20" t="s">
        <v>7</v>
      </c>
      <c r="O59" s="20" t="s">
        <v>7</v>
      </c>
      <c r="P59" s="21">
        <f>SUM(Q59:T59)</f>
        <v>4</v>
      </c>
      <c r="Q59" s="33">
        <v>1</v>
      </c>
      <c r="R59" s="21">
        <v>1</v>
      </c>
      <c r="S59" s="21">
        <v>1</v>
      </c>
      <c r="T59" s="33">
        <v>1</v>
      </c>
      <c r="U59" s="21">
        <f t="shared" si="0"/>
        <v>4</v>
      </c>
      <c r="V59" s="33">
        <v>1</v>
      </c>
      <c r="W59" s="21">
        <v>1</v>
      </c>
      <c r="X59" s="21">
        <v>1</v>
      </c>
      <c r="Y59" s="33">
        <v>1</v>
      </c>
      <c r="Z59" s="33" t="s">
        <v>299</v>
      </c>
      <c r="AA59" s="33" t="s">
        <v>189</v>
      </c>
      <c r="AB59" s="22" t="s">
        <v>208</v>
      </c>
    </row>
    <row r="60" spans="1:28" s="22" customFormat="1" x14ac:dyDescent="0.2">
      <c r="A60" s="11" t="s">
        <v>67</v>
      </c>
      <c r="B60" s="12" t="s">
        <v>166</v>
      </c>
      <c r="C60" s="12" t="s">
        <v>170</v>
      </c>
      <c r="D60" s="13" t="s">
        <v>7</v>
      </c>
      <c r="E60" s="13" t="s">
        <v>8</v>
      </c>
      <c r="F60" s="12" t="s">
        <v>7</v>
      </c>
      <c r="G60" s="14">
        <v>23.978687286376953</v>
      </c>
      <c r="H60" s="34">
        <v>24.347999999999999</v>
      </c>
      <c r="I60" s="35" t="s">
        <v>189</v>
      </c>
      <c r="J60" s="38">
        <v>18.469000000000001</v>
      </c>
      <c r="K60" s="18" t="s">
        <v>7</v>
      </c>
      <c r="L60" s="19" t="s">
        <v>8</v>
      </c>
      <c r="M60" s="20" t="s">
        <v>10</v>
      </c>
      <c r="N60" s="20" t="s">
        <v>7</v>
      </c>
      <c r="O60" s="20" t="s">
        <v>8</v>
      </c>
      <c r="P60" s="21">
        <f>SUM(Q60:T60)</f>
        <v>0</v>
      </c>
      <c r="Q60" s="21">
        <v>0</v>
      </c>
      <c r="R60" s="21">
        <v>0</v>
      </c>
      <c r="S60" s="21">
        <v>0</v>
      </c>
      <c r="T60" s="21">
        <v>0</v>
      </c>
      <c r="U60" s="21">
        <f t="shared" si="0"/>
        <v>3</v>
      </c>
      <c r="V60" s="33">
        <v>1</v>
      </c>
      <c r="W60" s="21">
        <v>1</v>
      </c>
      <c r="X60" s="21">
        <v>1</v>
      </c>
      <c r="Y60" s="33">
        <v>0</v>
      </c>
      <c r="Z60" s="33" t="s">
        <v>299</v>
      </c>
      <c r="AA60" s="33" t="s">
        <v>10</v>
      </c>
    </row>
    <row r="61" spans="1:28" s="22" customFormat="1" x14ac:dyDescent="0.2">
      <c r="A61" s="11" t="s">
        <v>68</v>
      </c>
      <c r="B61" s="12" t="s">
        <v>166</v>
      </c>
      <c r="C61" s="12" t="s">
        <v>170</v>
      </c>
      <c r="D61" s="13" t="s">
        <v>7</v>
      </c>
      <c r="E61" s="13" t="s">
        <v>8</v>
      </c>
      <c r="F61" s="12" t="s">
        <v>8</v>
      </c>
      <c r="G61" s="12">
        <v>12.256</v>
      </c>
      <c r="H61" s="34">
        <v>13.371</v>
      </c>
      <c r="I61" s="35" t="s">
        <v>189</v>
      </c>
      <c r="J61" s="38">
        <v>16.536000000000001</v>
      </c>
      <c r="K61" s="18" t="s">
        <v>8</v>
      </c>
      <c r="L61" s="19" t="s">
        <v>7</v>
      </c>
      <c r="M61" s="20" t="s">
        <v>7</v>
      </c>
      <c r="N61" s="20" t="s">
        <v>7</v>
      </c>
      <c r="O61" s="20" t="s">
        <v>7</v>
      </c>
      <c r="P61" s="21">
        <f>SUM(Q61:T61)</f>
        <v>4</v>
      </c>
      <c r="Q61" s="33">
        <v>1</v>
      </c>
      <c r="R61" s="21">
        <v>1</v>
      </c>
      <c r="S61" s="21">
        <v>1</v>
      </c>
      <c r="T61" s="33">
        <v>1</v>
      </c>
      <c r="U61" s="21">
        <f t="shared" si="0"/>
        <v>4</v>
      </c>
      <c r="V61" s="33">
        <v>1</v>
      </c>
      <c r="W61" s="21">
        <v>1</v>
      </c>
      <c r="X61" s="21">
        <v>1</v>
      </c>
      <c r="Y61" s="33">
        <v>1</v>
      </c>
      <c r="Z61" s="33" t="s">
        <v>299</v>
      </c>
      <c r="AA61" s="33" t="s">
        <v>189</v>
      </c>
      <c r="AB61" s="22" t="s">
        <v>210</v>
      </c>
    </row>
    <row r="62" spans="1:28" s="22" customFormat="1" x14ac:dyDescent="0.2">
      <c r="A62" s="11" t="s">
        <v>69</v>
      </c>
      <c r="B62" s="12" t="s">
        <v>166</v>
      </c>
      <c r="C62" s="12" t="s">
        <v>170</v>
      </c>
      <c r="D62" s="13" t="s">
        <v>7</v>
      </c>
      <c r="E62" s="13" t="s">
        <v>7</v>
      </c>
      <c r="F62" s="12" t="s">
        <v>8</v>
      </c>
      <c r="G62" s="14">
        <v>12.23627758026123</v>
      </c>
      <c r="H62" s="34">
        <v>12.865</v>
      </c>
      <c r="I62" s="35" t="s">
        <v>189</v>
      </c>
      <c r="J62" s="38">
        <v>17.164999999999999</v>
      </c>
      <c r="K62" s="18" t="s">
        <v>7</v>
      </c>
      <c r="L62" s="19" t="s">
        <v>8</v>
      </c>
      <c r="M62" s="20" t="s">
        <v>10</v>
      </c>
      <c r="N62" s="20" t="s">
        <v>7</v>
      </c>
      <c r="O62" s="20" t="s">
        <v>7</v>
      </c>
      <c r="P62" s="21">
        <f>SUM(Q62:T62)</f>
        <v>3</v>
      </c>
      <c r="Q62" s="33">
        <v>1</v>
      </c>
      <c r="R62" s="39">
        <v>1</v>
      </c>
      <c r="S62" s="21">
        <v>1</v>
      </c>
      <c r="T62" s="21">
        <v>0</v>
      </c>
      <c r="U62" s="21">
        <f t="shared" si="0"/>
        <v>3</v>
      </c>
      <c r="V62" s="33">
        <v>1</v>
      </c>
      <c r="W62" s="39">
        <v>1</v>
      </c>
      <c r="X62" s="21">
        <v>1</v>
      </c>
      <c r="Y62" s="21">
        <v>0</v>
      </c>
      <c r="Z62" s="21" t="s">
        <v>299</v>
      </c>
      <c r="AA62" s="21" t="s">
        <v>189</v>
      </c>
      <c r="AB62" s="22" t="s">
        <v>211</v>
      </c>
    </row>
    <row r="63" spans="1:28" s="22" customFormat="1" x14ac:dyDescent="0.2">
      <c r="A63" s="11" t="s">
        <v>70</v>
      </c>
      <c r="B63" s="12" t="s">
        <v>166</v>
      </c>
      <c r="C63" s="12" t="s">
        <v>170</v>
      </c>
      <c r="D63" s="13" t="s">
        <v>7</v>
      </c>
      <c r="E63" s="13" t="s">
        <v>8</v>
      </c>
      <c r="F63" s="12" t="s">
        <v>8</v>
      </c>
      <c r="G63" s="14">
        <v>10.592506408691406</v>
      </c>
      <c r="H63" s="34">
        <v>11.621</v>
      </c>
      <c r="I63" s="35" t="s">
        <v>189</v>
      </c>
      <c r="J63" s="38">
        <v>19.204999999999998</v>
      </c>
      <c r="K63" s="18" t="s">
        <v>8</v>
      </c>
      <c r="L63" s="19" t="s">
        <v>7</v>
      </c>
      <c r="M63" s="20" t="s">
        <v>7</v>
      </c>
      <c r="N63" s="20" t="s">
        <v>7</v>
      </c>
      <c r="O63" s="20" t="s">
        <v>7</v>
      </c>
      <c r="P63" s="21">
        <f>SUM(Q63:T63)</f>
        <v>4</v>
      </c>
      <c r="Q63" s="33">
        <v>1</v>
      </c>
      <c r="R63" s="21">
        <v>1</v>
      </c>
      <c r="S63" s="21">
        <v>1</v>
      </c>
      <c r="T63" s="33">
        <v>1</v>
      </c>
      <c r="U63" s="21">
        <f t="shared" si="0"/>
        <v>4</v>
      </c>
      <c r="V63" s="33">
        <v>1</v>
      </c>
      <c r="W63" s="21">
        <v>1</v>
      </c>
      <c r="X63" s="21">
        <v>1</v>
      </c>
      <c r="Y63" s="33">
        <v>1</v>
      </c>
      <c r="Z63" s="33" t="s">
        <v>299</v>
      </c>
      <c r="AA63" s="33" t="s">
        <v>189</v>
      </c>
      <c r="AB63" s="22" t="s">
        <v>212</v>
      </c>
    </row>
    <row r="64" spans="1:28" s="22" customFormat="1" x14ac:dyDescent="0.2">
      <c r="A64" s="12" t="s">
        <v>71</v>
      </c>
      <c r="B64" s="12" t="s">
        <v>166</v>
      </c>
      <c r="C64" s="12" t="s">
        <v>170</v>
      </c>
      <c r="D64" s="13" t="s">
        <v>7</v>
      </c>
      <c r="E64" s="13" t="s">
        <v>7</v>
      </c>
      <c r="F64" s="12" t="s">
        <v>8</v>
      </c>
      <c r="G64" s="14">
        <v>15.147397041320801</v>
      </c>
      <c r="H64" s="15">
        <v>15.459991455078125</v>
      </c>
      <c r="I64" s="16" t="s">
        <v>189</v>
      </c>
      <c r="J64" s="17">
        <v>19.731143951416016</v>
      </c>
      <c r="K64" s="18" t="s">
        <v>7</v>
      </c>
      <c r="L64" s="19" t="s">
        <v>7</v>
      </c>
      <c r="M64" s="20" t="s">
        <v>7</v>
      </c>
      <c r="N64" s="20" t="s">
        <v>7</v>
      </c>
      <c r="O64" s="20" t="s">
        <v>7</v>
      </c>
      <c r="P64" s="21">
        <f>SUM(Q64:T64)</f>
        <v>4</v>
      </c>
      <c r="Q64" s="33">
        <v>1</v>
      </c>
      <c r="R64" s="21">
        <v>1</v>
      </c>
      <c r="S64" s="21">
        <v>1</v>
      </c>
      <c r="T64" s="33">
        <v>1</v>
      </c>
      <c r="U64" s="21">
        <f t="shared" si="0"/>
        <v>4</v>
      </c>
      <c r="V64" s="33">
        <v>1</v>
      </c>
      <c r="W64" s="21">
        <v>1</v>
      </c>
      <c r="X64" s="21">
        <v>1</v>
      </c>
      <c r="Y64" s="33">
        <v>1</v>
      </c>
      <c r="Z64" s="33" t="s">
        <v>299</v>
      </c>
      <c r="AA64" s="33" t="s">
        <v>189</v>
      </c>
      <c r="AB64" s="22" t="s">
        <v>213</v>
      </c>
    </row>
    <row r="65" spans="1:28" s="22" customFormat="1" x14ac:dyDescent="0.2">
      <c r="A65" s="12" t="s">
        <v>72</v>
      </c>
      <c r="B65" s="12" t="s">
        <v>166</v>
      </c>
      <c r="C65" s="12" t="s">
        <v>170</v>
      </c>
      <c r="D65" s="13" t="s">
        <v>7</v>
      </c>
      <c r="E65" s="13" t="s">
        <v>7</v>
      </c>
      <c r="F65" s="12" t="s">
        <v>8</v>
      </c>
      <c r="G65" s="12">
        <v>0</v>
      </c>
      <c r="H65" s="15">
        <v>21.372707366943398</v>
      </c>
      <c r="I65" s="16" t="s">
        <v>190</v>
      </c>
      <c r="J65" s="17">
        <v>21.831569671630859</v>
      </c>
      <c r="K65" s="18" t="s">
        <v>7</v>
      </c>
      <c r="L65" s="19" t="s">
        <v>8</v>
      </c>
      <c r="M65" s="20" t="s">
        <v>10</v>
      </c>
      <c r="N65" s="20" t="s">
        <v>7</v>
      </c>
      <c r="O65" s="21" t="s">
        <v>8</v>
      </c>
      <c r="P65" s="21">
        <f>SUM(Q65:T65)</f>
        <v>3</v>
      </c>
      <c r="Q65" s="33">
        <v>1</v>
      </c>
      <c r="R65" s="21">
        <v>1</v>
      </c>
      <c r="S65" s="21">
        <v>1</v>
      </c>
      <c r="T65" s="21">
        <v>0</v>
      </c>
      <c r="U65" s="21">
        <f t="shared" si="0"/>
        <v>4</v>
      </c>
      <c r="V65" s="33">
        <v>1</v>
      </c>
      <c r="W65" s="21">
        <v>1</v>
      </c>
      <c r="X65" s="21">
        <v>2</v>
      </c>
      <c r="Y65" s="21">
        <v>0</v>
      </c>
      <c r="Z65" s="21" t="s">
        <v>298</v>
      </c>
      <c r="AA65" s="21" t="s">
        <v>190</v>
      </c>
      <c r="AB65" s="22" t="s">
        <v>214</v>
      </c>
    </row>
    <row r="66" spans="1:28" s="22" customFormat="1" x14ac:dyDescent="0.2">
      <c r="A66" s="12" t="s">
        <v>73</v>
      </c>
      <c r="B66" s="12" t="s">
        <v>166</v>
      </c>
      <c r="C66" s="12" t="s">
        <v>170</v>
      </c>
      <c r="D66" s="13" t="s">
        <v>7</v>
      </c>
      <c r="E66" s="13" t="s">
        <v>8</v>
      </c>
      <c r="F66" s="12" t="s">
        <v>7</v>
      </c>
      <c r="G66" s="14">
        <v>27.537172317504883</v>
      </c>
      <c r="H66" s="15">
        <v>27.620023727416992</v>
      </c>
      <c r="I66" s="16" t="s">
        <v>189</v>
      </c>
      <c r="J66" s="17">
        <v>22.252870559692383</v>
      </c>
      <c r="K66" s="18" t="s">
        <v>7</v>
      </c>
      <c r="L66" s="19" t="s">
        <v>7</v>
      </c>
      <c r="M66" s="20" t="s">
        <v>8</v>
      </c>
      <c r="N66" s="20" t="s">
        <v>7</v>
      </c>
      <c r="O66" s="20" t="s">
        <v>8</v>
      </c>
      <c r="P66" s="21">
        <f>SUM(Q66:T66)</f>
        <v>0</v>
      </c>
      <c r="Q66" s="21">
        <v>0</v>
      </c>
      <c r="R66" s="21">
        <v>0</v>
      </c>
      <c r="S66" s="21">
        <v>0</v>
      </c>
      <c r="T66" s="21">
        <v>0</v>
      </c>
      <c r="U66" s="21">
        <f t="shared" si="0"/>
        <v>4</v>
      </c>
      <c r="V66" s="33">
        <v>1</v>
      </c>
      <c r="W66" s="21">
        <v>1</v>
      </c>
      <c r="X66" s="21">
        <v>1</v>
      </c>
      <c r="Y66" s="21">
        <v>1</v>
      </c>
      <c r="Z66" s="21" t="s">
        <v>299</v>
      </c>
      <c r="AA66" s="21" t="s">
        <v>10</v>
      </c>
    </row>
    <row r="67" spans="1:28" s="22" customFormat="1" x14ac:dyDescent="0.2">
      <c r="A67" s="12" t="s">
        <v>74</v>
      </c>
      <c r="B67" s="12" t="s">
        <v>166</v>
      </c>
      <c r="C67" s="12" t="s">
        <v>170</v>
      </c>
      <c r="D67" s="13" t="s">
        <v>7</v>
      </c>
      <c r="E67" s="13" t="s">
        <v>7</v>
      </c>
      <c r="F67" s="12" t="s">
        <v>8</v>
      </c>
      <c r="G67" s="12">
        <v>0</v>
      </c>
      <c r="H67" s="15">
        <v>22.419328689575195</v>
      </c>
      <c r="I67" s="16" t="s">
        <v>190</v>
      </c>
      <c r="J67" s="17">
        <v>20.989822387695312</v>
      </c>
      <c r="K67" s="18" t="s">
        <v>7</v>
      </c>
      <c r="L67" s="19" t="s">
        <v>8</v>
      </c>
      <c r="M67" s="20" t="s">
        <v>10</v>
      </c>
      <c r="N67" s="20" t="s">
        <v>7</v>
      </c>
      <c r="O67" s="20" t="s">
        <v>7</v>
      </c>
      <c r="P67" s="21">
        <f>SUM(Q67:T67)</f>
        <v>3</v>
      </c>
      <c r="Q67" s="33">
        <v>1</v>
      </c>
      <c r="R67" s="21">
        <v>1</v>
      </c>
      <c r="S67" s="21">
        <v>1</v>
      </c>
      <c r="T67" s="21">
        <v>0</v>
      </c>
      <c r="U67" s="21">
        <f t="shared" ref="U67:U130" si="1">SUM(V67:Y67)</f>
        <v>3</v>
      </c>
      <c r="V67" s="33">
        <v>1</v>
      </c>
      <c r="W67" s="21">
        <v>1</v>
      </c>
      <c r="X67" s="21">
        <v>1</v>
      </c>
      <c r="Y67" s="21">
        <v>0</v>
      </c>
      <c r="Z67" s="21" t="s">
        <v>299</v>
      </c>
      <c r="AA67" s="21" t="s">
        <v>190</v>
      </c>
      <c r="AB67" s="22" t="s">
        <v>215</v>
      </c>
    </row>
    <row r="68" spans="1:28" s="22" customFormat="1" x14ac:dyDescent="0.2">
      <c r="A68" s="12" t="s">
        <v>75</v>
      </c>
      <c r="B68" s="12" t="s">
        <v>166</v>
      </c>
      <c r="C68" s="12" t="s">
        <v>170</v>
      </c>
      <c r="D68" s="13" t="s">
        <v>7</v>
      </c>
      <c r="E68" s="13" t="s">
        <v>7</v>
      </c>
      <c r="F68" s="12" t="s">
        <v>8</v>
      </c>
      <c r="G68" s="12">
        <v>0</v>
      </c>
      <c r="H68" s="15">
        <v>18.794445037841797</v>
      </c>
      <c r="I68" s="16" t="s">
        <v>190</v>
      </c>
      <c r="J68" s="17">
        <v>18.663068771362305</v>
      </c>
      <c r="K68" s="18" t="s">
        <v>7</v>
      </c>
      <c r="L68" s="19" t="s">
        <v>8</v>
      </c>
      <c r="M68" s="20" t="s">
        <v>10</v>
      </c>
      <c r="N68" s="20" t="s">
        <v>7</v>
      </c>
      <c r="O68" s="20" t="s">
        <v>7</v>
      </c>
      <c r="P68" s="21">
        <f>SUM(Q68:T68)</f>
        <v>3</v>
      </c>
      <c r="Q68" s="33">
        <v>1</v>
      </c>
      <c r="R68" s="21">
        <v>1</v>
      </c>
      <c r="S68" s="21">
        <v>1</v>
      </c>
      <c r="T68" s="21">
        <v>0</v>
      </c>
      <c r="U68" s="21">
        <f t="shared" si="1"/>
        <v>3</v>
      </c>
      <c r="V68" s="33">
        <v>1</v>
      </c>
      <c r="W68" s="21">
        <v>1</v>
      </c>
      <c r="X68" s="21">
        <v>1</v>
      </c>
      <c r="Y68" s="21">
        <v>0</v>
      </c>
      <c r="Z68" s="21" t="s">
        <v>299</v>
      </c>
      <c r="AA68" s="21" t="s">
        <v>190</v>
      </c>
      <c r="AB68" s="22" t="s">
        <v>242</v>
      </c>
    </row>
    <row r="69" spans="1:28" s="22" customFormat="1" x14ac:dyDescent="0.2">
      <c r="A69" s="12" t="s">
        <v>76</v>
      </c>
      <c r="B69" s="12" t="s">
        <v>166</v>
      </c>
      <c r="C69" s="12" t="s">
        <v>170</v>
      </c>
      <c r="D69" s="13" t="s">
        <v>7</v>
      </c>
      <c r="E69" s="13" t="s">
        <v>7</v>
      </c>
      <c r="F69" s="12" t="s">
        <v>8</v>
      </c>
      <c r="G69" s="14">
        <v>27.179407119750977</v>
      </c>
      <c r="H69" s="15">
        <v>20.699396133422852</v>
      </c>
      <c r="I69" s="16" t="s">
        <v>189</v>
      </c>
      <c r="J69" s="17">
        <v>22.712816238403299</v>
      </c>
      <c r="K69" s="18" t="s">
        <v>7</v>
      </c>
      <c r="L69" s="19" t="s">
        <v>8</v>
      </c>
      <c r="M69" s="20" t="s">
        <v>10</v>
      </c>
      <c r="N69" s="20" t="s">
        <v>7</v>
      </c>
      <c r="O69" s="20" t="s">
        <v>7</v>
      </c>
      <c r="P69" s="21">
        <f>SUM(Q69:T69)</f>
        <v>3</v>
      </c>
      <c r="Q69" s="33">
        <v>1</v>
      </c>
      <c r="R69" s="21">
        <v>1</v>
      </c>
      <c r="S69" s="21">
        <v>1</v>
      </c>
      <c r="T69" s="21">
        <v>0</v>
      </c>
      <c r="U69" s="21">
        <f t="shared" si="1"/>
        <v>7</v>
      </c>
      <c r="V69" s="33">
        <v>2</v>
      </c>
      <c r="W69" s="21">
        <v>2</v>
      </c>
      <c r="X69" s="21">
        <v>2</v>
      </c>
      <c r="Y69" s="21">
        <v>1</v>
      </c>
      <c r="Z69" s="21" t="s">
        <v>298</v>
      </c>
      <c r="AA69" s="21" t="s">
        <v>190</v>
      </c>
      <c r="AB69" s="22" t="s">
        <v>243</v>
      </c>
    </row>
    <row r="70" spans="1:28" s="22" customFormat="1" x14ac:dyDescent="0.2">
      <c r="A70" s="12" t="s">
        <v>77</v>
      </c>
      <c r="B70" s="12" t="s">
        <v>166</v>
      </c>
      <c r="C70" s="12" t="s">
        <v>170</v>
      </c>
      <c r="D70" s="13" t="s">
        <v>7</v>
      </c>
      <c r="E70" s="13" t="s">
        <v>7</v>
      </c>
      <c r="F70" s="12" t="s">
        <v>8</v>
      </c>
      <c r="G70" s="14">
        <v>8.8716974258422852</v>
      </c>
      <c r="H70" s="15">
        <v>11.839483261108398</v>
      </c>
      <c r="I70" s="16" t="s">
        <v>189</v>
      </c>
      <c r="J70" s="17">
        <v>18.520893096923828</v>
      </c>
      <c r="K70" s="18" t="s">
        <v>7</v>
      </c>
      <c r="L70" s="19" t="s">
        <v>7</v>
      </c>
      <c r="M70" s="20" t="s">
        <v>7</v>
      </c>
      <c r="N70" s="20" t="s">
        <v>7</v>
      </c>
      <c r="O70" s="20" t="s">
        <v>7</v>
      </c>
      <c r="P70" s="21">
        <f>SUM(Q70:T70)</f>
        <v>4</v>
      </c>
      <c r="Q70" s="33">
        <v>1</v>
      </c>
      <c r="R70" s="33">
        <v>1</v>
      </c>
      <c r="S70" s="33">
        <v>1</v>
      </c>
      <c r="T70" s="33">
        <v>1</v>
      </c>
      <c r="U70" s="21">
        <f t="shared" si="1"/>
        <v>4</v>
      </c>
      <c r="V70" s="33">
        <v>1</v>
      </c>
      <c r="W70" s="33">
        <v>1</v>
      </c>
      <c r="X70" s="33">
        <v>1</v>
      </c>
      <c r="Y70" s="33">
        <v>1</v>
      </c>
      <c r="Z70" s="33" t="s">
        <v>299</v>
      </c>
      <c r="AA70" s="33" t="s">
        <v>189</v>
      </c>
      <c r="AB70" s="22" t="s">
        <v>244</v>
      </c>
    </row>
    <row r="71" spans="1:28" s="22" customFormat="1" x14ac:dyDescent="0.2">
      <c r="A71" s="12" t="s">
        <v>78</v>
      </c>
      <c r="B71" s="12" t="s">
        <v>166</v>
      </c>
      <c r="C71" s="12" t="s">
        <v>170</v>
      </c>
      <c r="D71" s="13" t="s">
        <v>8</v>
      </c>
      <c r="E71" s="13" t="s">
        <v>10</v>
      </c>
      <c r="F71" s="12" t="s">
        <v>7</v>
      </c>
      <c r="G71" s="14">
        <v>24.899078369140625</v>
      </c>
      <c r="H71" s="15">
        <v>28.514627456665039</v>
      </c>
      <c r="I71" s="16" t="s">
        <v>189</v>
      </c>
      <c r="J71" s="17">
        <v>18.834943771362305</v>
      </c>
      <c r="K71" s="18" t="s">
        <v>7</v>
      </c>
      <c r="L71" s="19" t="s">
        <v>8</v>
      </c>
      <c r="M71" s="20" t="s">
        <v>10</v>
      </c>
      <c r="N71" s="20" t="s">
        <v>8</v>
      </c>
      <c r="O71" s="20" t="s">
        <v>10</v>
      </c>
      <c r="P71" s="21">
        <f>SUM(Q71:T71)</f>
        <v>0</v>
      </c>
      <c r="Q71" s="21">
        <v>0</v>
      </c>
      <c r="R71" s="21">
        <v>0</v>
      </c>
      <c r="S71" s="21">
        <v>0</v>
      </c>
      <c r="T71" s="21">
        <v>0</v>
      </c>
      <c r="U71" s="21">
        <f t="shared" si="1"/>
        <v>3</v>
      </c>
      <c r="V71" s="21">
        <v>1</v>
      </c>
      <c r="W71" s="21">
        <v>1</v>
      </c>
      <c r="X71" s="21">
        <v>0</v>
      </c>
      <c r="Y71" s="21">
        <v>1</v>
      </c>
      <c r="Z71" s="21" t="s">
        <v>299</v>
      </c>
      <c r="AA71" s="21" t="s">
        <v>10</v>
      </c>
    </row>
    <row r="72" spans="1:28" s="22" customFormat="1" x14ac:dyDescent="0.2">
      <c r="A72" s="12" t="s">
        <v>79</v>
      </c>
      <c r="B72" s="12" t="s">
        <v>166</v>
      </c>
      <c r="C72" s="12" t="s">
        <v>170</v>
      </c>
      <c r="D72" s="13" t="s">
        <v>7</v>
      </c>
      <c r="E72" s="13" t="s">
        <v>7</v>
      </c>
      <c r="F72" s="12" t="s">
        <v>8</v>
      </c>
      <c r="G72" s="14">
        <v>31.122116088867188</v>
      </c>
      <c r="H72" s="15">
        <v>17.370752334594727</v>
      </c>
      <c r="I72" s="16" t="s">
        <v>190</v>
      </c>
      <c r="J72" s="17">
        <v>20.049114227294922</v>
      </c>
      <c r="K72" s="18" t="s">
        <v>7</v>
      </c>
      <c r="L72" s="19" t="s">
        <v>8</v>
      </c>
      <c r="M72" s="20" t="s">
        <v>10</v>
      </c>
      <c r="N72" s="20" t="s">
        <v>7</v>
      </c>
      <c r="O72" s="20" t="s">
        <v>7</v>
      </c>
      <c r="P72" s="21">
        <f>SUM(Q72:T72)</f>
        <v>3</v>
      </c>
      <c r="Q72" s="33">
        <v>1</v>
      </c>
      <c r="R72" s="21">
        <v>1</v>
      </c>
      <c r="S72" s="21">
        <v>1</v>
      </c>
      <c r="T72" s="21">
        <v>0</v>
      </c>
      <c r="U72" s="21">
        <f t="shared" si="1"/>
        <v>4</v>
      </c>
      <c r="V72" s="21">
        <v>1</v>
      </c>
      <c r="W72" s="21">
        <v>2</v>
      </c>
      <c r="X72" s="21">
        <v>1</v>
      </c>
      <c r="Y72" s="21">
        <v>0</v>
      </c>
      <c r="Z72" s="21" t="s">
        <v>298</v>
      </c>
      <c r="AA72" s="21" t="s">
        <v>190</v>
      </c>
      <c r="AB72" s="22" t="s">
        <v>245</v>
      </c>
    </row>
    <row r="73" spans="1:28" s="22" customFormat="1" x14ac:dyDescent="0.2">
      <c r="A73" s="12" t="s">
        <v>80</v>
      </c>
      <c r="B73" s="12" t="s">
        <v>166</v>
      </c>
      <c r="C73" s="12" t="s">
        <v>170</v>
      </c>
      <c r="D73" s="13" t="s">
        <v>8</v>
      </c>
      <c r="E73" s="13" t="s">
        <v>10</v>
      </c>
      <c r="F73" s="12" t="s">
        <v>7</v>
      </c>
      <c r="G73" s="14">
        <v>27.958059310913086</v>
      </c>
      <c r="H73" s="15">
        <v>28.925302505493164</v>
      </c>
      <c r="I73" s="16" t="s">
        <v>189</v>
      </c>
      <c r="J73" s="17">
        <v>18.331327438354492</v>
      </c>
      <c r="K73" s="18" t="s">
        <v>7</v>
      </c>
      <c r="L73" s="19" t="s">
        <v>8</v>
      </c>
      <c r="M73" s="20" t="s">
        <v>10</v>
      </c>
      <c r="N73" s="20" t="s">
        <v>8</v>
      </c>
      <c r="O73" s="20" t="s">
        <v>10</v>
      </c>
      <c r="P73" s="21">
        <f>SUM(Q73:T73)</f>
        <v>0</v>
      </c>
      <c r="Q73" s="21">
        <v>0</v>
      </c>
      <c r="R73" s="21">
        <v>0</v>
      </c>
      <c r="S73" s="21">
        <v>0</v>
      </c>
      <c r="T73" s="21">
        <v>0</v>
      </c>
      <c r="U73" s="21">
        <f t="shared" si="1"/>
        <v>0</v>
      </c>
      <c r="V73" s="21">
        <v>0</v>
      </c>
      <c r="W73" s="21">
        <v>0</v>
      </c>
      <c r="X73" s="21">
        <v>0</v>
      </c>
      <c r="Y73" s="21">
        <v>0</v>
      </c>
      <c r="Z73" s="21" t="s">
        <v>10</v>
      </c>
      <c r="AA73" s="21" t="s">
        <v>10</v>
      </c>
    </row>
    <row r="74" spans="1:28" s="22" customFormat="1" x14ac:dyDescent="0.2">
      <c r="A74" s="12" t="s">
        <v>81</v>
      </c>
      <c r="B74" s="12" t="s">
        <v>166</v>
      </c>
      <c r="C74" s="12" t="s">
        <v>170</v>
      </c>
      <c r="D74" s="13" t="s">
        <v>7</v>
      </c>
      <c r="E74" s="13" t="s">
        <v>7</v>
      </c>
      <c r="F74" s="12" t="s">
        <v>8</v>
      </c>
      <c r="G74" s="40">
        <v>11.832000000000001</v>
      </c>
      <c r="H74" s="15">
        <v>13.40200138092041</v>
      </c>
      <c r="I74" s="16" t="s">
        <v>189</v>
      </c>
      <c r="J74" s="17">
        <v>16.590864181518555</v>
      </c>
      <c r="K74" s="18" t="s">
        <v>7</v>
      </c>
      <c r="L74" s="19" t="s">
        <v>7</v>
      </c>
      <c r="M74" s="20" t="s">
        <v>7</v>
      </c>
      <c r="N74" s="20" t="s">
        <v>7</v>
      </c>
      <c r="O74" s="20" t="s">
        <v>7</v>
      </c>
      <c r="P74" s="21">
        <f>SUM(Q74:T74)</f>
        <v>4</v>
      </c>
      <c r="Q74" s="33">
        <v>1</v>
      </c>
      <c r="R74" s="21">
        <v>1</v>
      </c>
      <c r="S74" s="21">
        <v>1</v>
      </c>
      <c r="T74" s="33">
        <v>1</v>
      </c>
      <c r="U74" s="21">
        <f t="shared" si="1"/>
        <v>4</v>
      </c>
      <c r="V74" s="33">
        <v>1</v>
      </c>
      <c r="W74" s="21">
        <v>1</v>
      </c>
      <c r="X74" s="21">
        <v>1</v>
      </c>
      <c r="Y74" s="33">
        <v>1</v>
      </c>
      <c r="Z74" s="33" t="s">
        <v>299</v>
      </c>
      <c r="AA74" s="33" t="s">
        <v>189</v>
      </c>
      <c r="AB74" s="22" t="s">
        <v>246</v>
      </c>
    </row>
    <row r="75" spans="1:28" s="22" customFormat="1" x14ac:dyDescent="0.2">
      <c r="A75" s="12" t="s">
        <v>82</v>
      </c>
      <c r="B75" s="12" t="s">
        <v>166</v>
      </c>
      <c r="C75" s="12" t="s">
        <v>170</v>
      </c>
      <c r="D75" s="13" t="s">
        <v>7</v>
      </c>
      <c r="E75" s="13" t="s">
        <v>7</v>
      </c>
      <c r="F75" s="12" t="s">
        <v>8</v>
      </c>
      <c r="G75" s="14">
        <v>29.473030090332031</v>
      </c>
      <c r="H75" s="15">
        <v>17.60045051574707</v>
      </c>
      <c r="I75" s="16" t="s">
        <v>189</v>
      </c>
      <c r="J75" s="17">
        <v>16.357486724853516</v>
      </c>
      <c r="K75" s="18" t="s">
        <v>7</v>
      </c>
      <c r="L75" s="19" t="s">
        <v>8</v>
      </c>
      <c r="M75" s="20" t="s">
        <v>10</v>
      </c>
      <c r="N75" s="20" t="s">
        <v>7</v>
      </c>
      <c r="O75" s="20" t="s">
        <v>7</v>
      </c>
      <c r="P75" s="21">
        <f>SUM(Q75:T75)</f>
        <v>3</v>
      </c>
      <c r="Q75" s="33">
        <v>1</v>
      </c>
      <c r="R75" s="21">
        <v>1</v>
      </c>
      <c r="S75" s="21">
        <v>1</v>
      </c>
      <c r="T75" s="21">
        <v>0</v>
      </c>
      <c r="U75" s="21">
        <f t="shared" si="1"/>
        <v>3</v>
      </c>
      <c r="V75" s="33">
        <v>1</v>
      </c>
      <c r="W75" s="21">
        <v>1</v>
      </c>
      <c r="X75" s="21">
        <v>1</v>
      </c>
      <c r="Y75" s="21">
        <v>0</v>
      </c>
      <c r="Z75" s="21" t="s">
        <v>299</v>
      </c>
      <c r="AA75" s="21" t="s">
        <v>190</v>
      </c>
      <c r="AB75" s="22" t="s">
        <v>247</v>
      </c>
    </row>
    <row r="76" spans="1:28" s="22" customFormat="1" x14ac:dyDescent="0.2">
      <c r="A76" s="12" t="s">
        <v>83</v>
      </c>
      <c r="B76" s="12" t="s">
        <v>166</v>
      </c>
      <c r="C76" s="12" t="s">
        <v>170</v>
      </c>
      <c r="D76" s="13" t="s">
        <v>7</v>
      </c>
      <c r="E76" s="13" t="s">
        <v>7</v>
      </c>
      <c r="F76" s="12" t="s">
        <v>8</v>
      </c>
      <c r="G76" s="14">
        <v>11.549920082092285</v>
      </c>
      <c r="H76" s="15">
        <v>12.80751895904541</v>
      </c>
      <c r="I76" s="16" t="s">
        <v>189</v>
      </c>
      <c r="J76" s="17">
        <v>17.253305435180664</v>
      </c>
      <c r="K76" s="18" t="s">
        <v>7</v>
      </c>
      <c r="L76" s="19" t="s">
        <v>8</v>
      </c>
      <c r="M76" s="20" t="s">
        <v>10</v>
      </c>
      <c r="N76" s="20" t="s">
        <v>7</v>
      </c>
      <c r="O76" s="20" t="s">
        <v>7</v>
      </c>
      <c r="P76" s="21">
        <f>SUM(Q76:T76)</f>
        <v>3</v>
      </c>
      <c r="Q76" s="33">
        <v>1</v>
      </c>
      <c r="R76" s="21">
        <v>1</v>
      </c>
      <c r="S76" s="21">
        <v>1</v>
      </c>
      <c r="T76" s="21">
        <v>0</v>
      </c>
      <c r="U76" s="21">
        <f t="shared" si="1"/>
        <v>3</v>
      </c>
      <c r="V76" s="33">
        <v>1</v>
      </c>
      <c r="W76" s="21">
        <v>1</v>
      </c>
      <c r="X76" s="21">
        <v>1</v>
      </c>
      <c r="Y76" s="21">
        <v>0</v>
      </c>
      <c r="Z76" s="21" t="s">
        <v>299</v>
      </c>
      <c r="AA76" s="21" t="s">
        <v>189</v>
      </c>
      <c r="AB76" s="22" t="s">
        <v>248</v>
      </c>
    </row>
    <row r="77" spans="1:28" s="22" customFormat="1" x14ac:dyDescent="0.2">
      <c r="A77" s="12" t="s">
        <v>84</v>
      </c>
      <c r="B77" s="12" t="s">
        <v>166</v>
      </c>
      <c r="C77" s="12" t="s">
        <v>170</v>
      </c>
      <c r="D77" s="13" t="s">
        <v>8</v>
      </c>
      <c r="E77" s="13" t="s">
        <v>10</v>
      </c>
      <c r="F77" s="12" t="s">
        <v>7</v>
      </c>
      <c r="G77" s="14">
        <v>28.859601974487305</v>
      </c>
      <c r="H77" s="15">
        <v>27.784330368041992</v>
      </c>
      <c r="I77" s="16" t="s">
        <v>189</v>
      </c>
      <c r="J77" s="17">
        <v>16.271211624145508</v>
      </c>
      <c r="K77" s="18" t="s">
        <v>7</v>
      </c>
      <c r="L77" s="19" t="s">
        <v>8</v>
      </c>
      <c r="M77" s="20" t="s">
        <v>10</v>
      </c>
      <c r="N77" s="20" t="s">
        <v>8</v>
      </c>
      <c r="O77" s="20" t="s">
        <v>10</v>
      </c>
      <c r="P77" s="21">
        <f>SUM(Q77:T77)</f>
        <v>0</v>
      </c>
      <c r="Q77" s="21">
        <v>0</v>
      </c>
      <c r="R77" s="21">
        <v>0</v>
      </c>
      <c r="S77" s="21">
        <v>0</v>
      </c>
      <c r="T77" s="21">
        <v>0</v>
      </c>
      <c r="U77" s="21">
        <f t="shared" si="1"/>
        <v>2</v>
      </c>
      <c r="V77" s="21">
        <v>0</v>
      </c>
      <c r="W77" s="21">
        <v>1</v>
      </c>
      <c r="X77" s="21">
        <v>1</v>
      </c>
      <c r="Y77" s="21">
        <v>0</v>
      </c>
      <c r="Z77" s="21" t="s">
        <v>299</v>
      </c>
      <c r="AA77" s="21" t="s">
        <v>10</v>
      </c>
    </row>
    <row r="78" spans="1:28" s="22" customFormat="1" x14ac:dyDescent="0.2">
      <c r="A78" s="12" t="s">
        <v>85</v>
      </c>
      <c r="B78" s="12" t="s">
        <v>166</v>
      </c>
      <c r="C78" s="12" t="s">
        <v>170</v>
      </c>
      <c r="D78" s="13" t="s">
        <v>8</v>
      </c>
      <c r="E78" s="13" t="s">
        <v>10</v>
      </c>
      <c r="F78" s="12" t="s">
        <v>7</v>
      </c>
      <c r="G78" s="14">
        <v>28.997045516967773</v>
      </c>
      <c r="H78" s="15">
        <v>27.842777252197266</v>
      </c>
      <c r="I78" s="16" t="s">
        <v>189</v>
      </c>
      <c r="J78" s="17">
        <v>18.960979461669922</v>
      </c>
      <c r="K78" s="18" t="s">
        <v>7</v>
      </c>
      <c r="L78" s="19" t="s">
        <v>8</v>
      </c>
      <c r="M78" s="20" t="s">
        <v>10</v>
      </c>
      <c r="N78" s="20" t="s">
        <v>8</v>
      </c>
      <c r="O78" s="20" t="s">
        <v>10</v>
      </c>
      <c r="P78" s="21">
        <f>SUM(Q78:T78)</f>
        <v>0</v>
      </c>
      <c r="Q78" s="21">
        <v>0</v>
      </c>
      <c r="R78" s="21">
        <v>0</v>
      </c>
      <c r="S78" s="21">
        <v>0</v>
      </c>
      <c r="T78" s="21">
        <v>0</v>
      </c>
      <c r="U78" s="21">
        <f t="shared" si="1"/>
        <v>0</v>
      </c>
      <c r="V78" s="21">
        <v>0</v>
      </c>
      <c r="W78" s="21">
        <v>0</v>
      </c>
      <c r="X78" s="21">
        <v>0</v>
      </c>
      <c r="Y78" s="21">
        <v>0</v>
      </c>
      <c r="Z78" s="21" t="s">
        <v>10</v>
      </c>
      <c r="AA78" s="21" t="s">
        <v>10</v>
      </c>
    </row>
    <row r="79" spans="1:28" s="22" customFormat="1" x14ac:dyDescent="0.2">
      <c r="A79" s="12" t="s">
        <v>86</v>
      </c>
      <c r="B79" s="12" t="s">
        <v>166</v>
      </c>
      <c r="C79" s="12" t="s">
        <v>170</v>
      </c>
      <c r="D79" s="13" t="s">
        <v>7</v>
      </c>
      <c r="E79" s="13" t="s">
        <v>7</v>
      </c>
      <c r="F79" s="12" t="s">
        <v>8</v>
      </c>
      <c r="G79" s="14">
        <v>10.385673522949219</v>
      </c>
      <c r="H79" s="15">
        <v>11.827540397644043</v>
      </c>
      <c r="I79" s="16" t="s">
        <v>189</v>
      </c>
      <c r="J79" s="17">
        <v>19.240188598632812</v>
      </c>
      <c r="K79" s="18" t="s">
        <v>7</v>
      </c>
      <c r="L79" s="19" t="s">
        <v>7</v>
      </c>
      <c r="M79" s="20" t="s">
        <v>7</v>
      </c>
      <c r="N79" s="20" t="s">
        <v>7</v>
      </c>
      <c r="O79" s="20" t="s">
        <v>7</v>
      </c>
      <c r="P79" s="21">
        <f>SUM(Q79:T79)</f>
        <v>4</v>
      </c>
      <c r="Q79" s="33">
        <v>1</v>
      </c>
      <c r="R79" s="21">
        <v>1</v>
      </c>
      <c r="S79" s="21">
        <v>1</v>
      </c>
      <c r="T79" s="33">
        <v>1</v>
      </c>
      <c r="U79" s="21">
        <f t="shared" si="1"/>
        <v>5</v>
      </c>
      <c r="V79" s="21">
        <v>1</v>
      </c>
      <c r="W79" s="21">
        <v>1</v>
      </c>
      <c r="X79" s="21">
        <v>2</v>
      </c>
      <c r="Y79" s="21">
        <v>1</v>
      </c>
      <c r="Z79" s="21" t="s">
        <v>298</v>
      </c>
      <c r="AA79" s="21" t="s">
        <v>189</v>
      </c>
      <c r="AB79" s="22" t="s">
        <v>249</v>
      </c>
    </row>
    <row r="80" spans="1:28" s="22" customFormat="1" x14ac:dyDescent="0.2">
      <c r="A80" s="12" t="s">
        <v>87</v>
      </c>
      <c r="B80" s="12" t="s">
        <v>166</v>
      </c>
      <c r="C80" s="12" t="s">
        <v>170</v>
      </c>
      <c r="D80" s="13" t="s">
        <v>7</v>
      </c>
      <c r="E80" s="13" t="s">
        <v>7</v>
      </c>
      <c r="F80" s="12" t="s">
        <v>8</v>
      </c>
      <c r="G80" s="14">
        <v>10.855312347412109</v>
      </c>
      <c r="H80" s="15">
        <v>11.402040481567383</v>
      </c>
      <c r="I80" s="16" t="s">
        <v>189</v>
      </c>
      <c r="J80" s="17">
        <v>17.963279724121094</v>
      </c>
      <c r="K80" s="18" t="s">
        <v>7</v>
      </c>
      <c r="L80" s="19" t="s">
        <v>7</v>
      </c>
      <c r="M80" s="20" t="s">
        <v>7</v>
      </c>
      <c r="N80" s="20" t="s">
        <v>7</v>
      </c>
      <c r="O80" s="20" t="s">
        <v>7</v>
      </c>
      <c r="P80" s="21">
        <f>SUM(Q80:T80)</f>
        <v>4</v>
      </c>
      <c r="Q80" s="33">
        <v>1</v>
      </c>
      <c r="R80" s="21">
        <v>1</v>
      </c>
      <c r="S80" s="21">
        <v>1</v>
      </c>
      <c r="T80" s="33">
        <v>1</v>
      </c>
      <c r="U80" s="21">
        <f t="shared" si="1"/>
        <v>4</v>
      </c>
      <c r="V80" s="33">
        <v>1</v>
      </c>
      <c r="W80" s="21">
        <v>1</v>
      </c>
      <c r="X80" s="21">
        <v>1</v>
      </c>
      <c r="Y80" s="33">
        <v>1</v>
      </c>
      <c r="Z80" s="33" t="s">
        <v>299</v>
      </c>
      <c r="AA80" s="33" t="s">
        <v>189</v>
      </c>
      <c r="AB80" s="22" t="s">
        <v>250</v>
      </c>
    </row>
    <row r="81" spans="1:28" s="22" customFormat="1" x14ac:dyDescent="0.2">
      <c r="A81" s="12" t="s">
        <v>88</v>
      </c>
      <c r="B81" s="12" t="s">
        <v>166</v>
      </c>
      <c r="C81" s="12" t="s">
        <v>170</v>
      </c>
      <c r="D81" s="13" t="s">
        <v>7</v>
      </c>
      <c r="E81" s="13" t="s">
        <v>7</v>
      </c>
      <c r="F81" s="12" t="s">
        <v>8</v>
      </c>
      <c r="G81" s="14">
        <v>10.584362983703613</v>
      </c>
      <c r="H81" s="15">
        <v>12.315896034240723</v>
      </c>
      <c r="I81" s="16" t="s">
        <v>189</v>
      </c>
      <c r="J81" s="17">
        <v>17.22039794921875</v>
      </c>
      <c r="K81" s="18" t="s">
        <v>7</v>
      </c>
      <c r="L81" s="19" t="s">
        <v>7</v>
      </c>
      <c r="M81" s="20" t="s">
        <v>7</v>
      </c>
      <c r="N81" s="20" t="s">
        <v>7</v>
      </c>
      <c r="O81" s="20" t="s">
        <v>7</v>
      </c>
      <c r="P81" s="21">
        <f>SUM(Q81:T81)</f>
        <v>4</v>
      </c>
      <c r="Q81" s="33">
        <v>1</v>
      </c>
      <c r="R81" s="21">
        <v>1</v>
      </c>
      <c r="S81" s="21">
        <v>1</v>
      </c>
      <c r="T81" s="33">
        <v>1</v>
      </c>
      <c r="U81" s="21">
        <f t="shared" si="1"/>
        <v>4</v>
      </c>
      <c r="V81" s="33">
        <v>1</v>
      </c>
      <c r="W81" s="21">
        <v>1</v>
      </c>
      <c r="X81" s="21">
        <v>1</v>
      </c>
      <c r="Y81" s="33">
        <v>1</v>
      </c>
      <c r="Z81" s="33" t="s">
        <v>299</v>
      </c>
      <c r="AA81" s="33" t="s">
        <v>189</v>
      </c>
      <c r="AB81" s="22" t="s">
        <v>251</v>
      </c>
    </row>
    <row r="82" spans="1:28" s="22" customFormat="1" x14ac:dyDescent="0.2">
      <c r="A82" s="12" t="s">
        <v>89</v>
      </c>
      <c r="B82" s="12" t="s">
        <v>166</v>
      </c>
      <c r="C82" s="12" t="s">
        <v>170</v>
      </c>
      <c r="D82" s="13" t="s">
        <v>7</v>
      </c>
      <c r="E82" s="13" t="s">
        <v>7</v>
      </c>
      <c r="F82" s="12" t="s">
        <v>8</v>
      </c>
      <c r="G82" s="14">
        <v>10.630273818969727</v>
      </c>
      <c r="H82" s="15">
        <v>12.33470344543457</v>
      </c>
      <c r="I82" s="16" t="s">
        <v>189</v>
      </c>
      <c r="J82" s="17">
        <v>17.655099868774414</v>
      </c>
      <c r="K82" s="18" t="s">
        <v>7</v>
      </c>
      <c r="L82" s="19" t="s">
        <v>7</v>
      </c>
      <c r="M82" s="20" t="s">
        <v>7</v>
      </c>
      <c r="N82" s="20" t="s">
        <v>7</v>
      </c>
      <c r="O82" s="20" t="s">
        <v>7</v>
      </c>
      <c r="P82" s="21">
        <f>SUM(Q82:T82)</f>
        <v>4</v>
      </c>
      <c r="Q82" s="33">
        <v>1</v>
      </c>
      <c r="R82" s="21">
        <v>1</v>
      </c>
      <c r="S82" s="21">
        <v>1</v>
      </c>
      <c r="T82" s="33">
        <v>1</v>
      </c>
      <c r="U82" s="21">
        <f t="shared" si="1"/>
        <v>5</v>
      </c>
      <c r="V82" s="33">
        <v>1</v>
      </c>
      <c r="W82" s="21">
        <v>1</v>
      </c>
      <c r="X82" s="21">
        <v>2</v>
      </c>
      <c r="Y82" s="33">
        <v>1</v>
      </c>
      <c r="Z82" s="33" t="s">
        <v>298</v>
      </c>
      <c r="AA82" s="33" t="s">
        <v>189</v>
      </c>
      <c r="AB82" s="22" t="s">
        <v>252</v>
      </c>
    </row>
    <row r="83" spans="1:28" s="22" customFormat="1" x14ac:dyDescent="0.2">
      <c r="A83" s="12" t="s">
        <v>90</v>
      </c>
      <c r="B83" s="12" t="s">
        <v>166</v>
      </c>
      <c r="C83" s="12" t="s">
        <v>170</v>
      </c>
      <c r="D83" s="13" t="s">
        <v>7</v>
      </c>
      <c r="E83" s="13" t="s">
        <v>7</v>
      </c>
      <c r="F83" s="12" t="s">
        <v>8</v>
      </c>
      <c r="G83" s="14">
        <v>11.685555458068848</v>
      </c>
      <c r="H83" s="15">
        <v>11.747514724731445</v>
      </c>
      <c r="I83" s="16" t="s">
        <v>189</v>
      </c>
      <c r="J83" s="17">
        <v>18.372575759887695</v>
      </c>
      <c r="K83" s="18" t="s">
        <v>7</v>
      </c>
      <c r="L83" s="19" t="s">
        <v>7</v>
      </c>
      <c r="M83" s="20" t="s">
        <v>7</v>
      </c>
      <c r="N83" s="20" t="s">
        <v>7</v>
      </c>
      <c r="O83" s="20" t="s">
        <v>7</v>
      </c>
      <c r="P83" s="21">
        <f>SUM(Q83:T83)</f>
        <v>4</v>
      </c>
      <c r="Q83" s="33">
        <v>1</v>
      </c>
      <c r="R83" s="21">
        <v>1</v>
      </c>
      <c r="S83" s="21">
        <v>1</v>
      </c>
      <c r="T83" s="33">
        <v>1</v>
      </c>
      <c r="U83" s="21">
        <f t="shared" si="1"/>
        <v>4</v>
      </c>
      <c r="V83" s="33">
        <v>1</v>
      </c>
      <c r="W83" s="21">
        <v>1</v>
      </c>
      <c r="X83" s="21">
        <v>1</v>
      </c>
      <c r="Y83" s="33">
        <v>1</v>
      </c>
      <c r="Z83" s="33" t="s">
        <v>299</v>
      </c>
      <c r="AA83" s="33" t="s">
        <v>189</v>
      </c>
      <c r="AB83" s="22" t="s">
        <v>253</v>
      </c>
    </row>
    <row r="84" spans="1:28" s="22" customFormat="1" x14ac:dyDescent="0.2">
      <c r="A84" s="12" t="s">
        <v>91</v>
      </c>
      <c r="B84" s="12" t="s">
        <v>166</v>
      </c>
      <c r="C84" s="12" t="s">
        <v>170</v>
      </c>
      <c r="D84" s="13" t="s">
        <v>7</v>
      </c>
      <c r="E84" s="13" t="s">
        <v>8</v>
      </c>
      <c r="F84" s="12" t="s">
        <v>7</v>
      </c>
      <c r="G84" s="14">
        <v>27.736288070678711</v>
      </c>
      <c r="H84" s="15">
        <v>27.483760833740199</v>
      </c>
      <c r="I84" s="16" t="s">
        <v>189</v>
      </c>
      <c r="J84" s="17">
        <v>18.486640930175781</v>
      </c>
      <c r="K84" s="18" t="s">
        <v>7</v>
      </c>
      <c r="L84" s="19" t="s">
        <v>8</v>
      </c>
      <c r="M84" s="20" t="s">
        <v>10</v>
      </c>
      <c r="N84" s="20" t="s">
        <v>7</v>
      </c>
      <c r="O84" s="20" t="s">
        <v>8</v>
      </c>
      <c r="P84" s="21">
        <f>SUM(Q84:T84)</f>
        <v>0</v>
      </c>
      <c r="Q84" s="21">
        <v>0</v>
      </c>
      <c r="R84" s="21">
        <v>0</v>
      </c>
      <c r="S84" s="21">
        <v>0</v>
      </c>
      <c r="T84" s="21">
        <v>0</v>
      </c>
      <c r="U84" s="21">
        <f t="shared" si="1"/>
        <v>3</v>
      </c>
      <c r="V84" s="33">
        <v>0</v>
      </c>
      <c r="W84" s="21">
        <v>1</v>
      </c>
      <c r="X84" s="21">
        <v>1</v>
      </c>
      <c r="Y84" s="33">
        <v>1</v>
      </c>
      <c r="Z84" s="33" t="s">
        <v>299</v>
      </c>
      <c r="AA84" s="33" t="s">
        <v>10</v>
      </c>
    </row>
    <row r="85" spans="1:28" s="22" customFormat="1" x14ac:dyDescent="0.2">
      <c r="A85" s="12" t="s">
        <v>92</v>
      </c>
      <c r="B85" s="12" t="s">
        <v>166</v>
      </c>
      <c r="C85" s="12" t="s">
        <v>171</v>
      </c>
      <c r="D85" s="13" t="s">
        <v>8</v>
      </c>
      <c r="E85" s="13" t="s">
        <v>10</v>
      </c>
      <c r="F85" s="12" t="s">
        <v>7</v>
      </c>
      <c r="G85" s="14">
        <v>30.58984375</v>
      </c>
      <c r="H85" s="24">
        <v>30.503763198852539</v>
      </c>
      <c r="I85" s="16" t="s">
        <v>189</v>
      </c>
      <c r="J85" s="17">
        <v>27.816560745239258</v>
      </c>
      <c r="K85" s="18" t="s">
        <v>7</v>
      </c>
      <c r="L85" s="19" t="s">
        <v>8</v>
      </c>
      <c r="M85" s="20" t="s">
        <v>10</v>
      </c>
      <c r="N85" s="20" t="s">
        <v>8</v>
      </c>
      <c r="O85" s="20" t="s">
        <v>10</v>
      </c>
      <c r="P85" s="21">
        <f>SUM(Q85:T85)</f>
        <v>0</v>
      </c>
      <c r="Q85" s="21">
        <v>0</v>
      </c>
      <c r="R85" s="21">
        <v>0</v>
      </c>
      <c r="S85" s="21">
        <v>0</v>
      </c>
      <c r="T85" s="21">
        <v>0</v>
      </c>
      <c r="U85" s="21">
        <f t="shared" si="1"/>
        <v>0</v>
      </c>
      <c r="V85" s="21">
        <v>0</v>
      </c>
      <c r="W85" s="21">
        <v>0</v>
      </c>
      <c r="X85" s="21">
        <v>0</v>
      </c>
      <c r="Y85" s="21">
        <v>0</v>
      </c>
      <c r="Z85" s="21" t="s">
        <v>10</v>
      </c>
      <c r="AA85" s="21" t="s">
        <v>10</v>
      </c>
    </row>
    <row r="86" spans="1:28" s="22" customFormat="1" x14ac:dyDescent="0.2">
      <c r="A86" s="12" t="s">
        <v>93</v>
      </c>
      <c r="B86" s="12" t="s">
        <v>166</v>
      </c>
      <c r="C86" s="12" t="s">
        <v>170</v>
      </c>
      <c r="D86" s="13" t="s">
        <v>7</v>
      </c>
      <c r="E86" s="13" t="s">
        <v>7</v>
      </c>
      <c r="F86" s="12" t="s">
        <v>8</v>
      </c>
      <c r="G86" s="12">
        <v>0</v>
      </c>
      <c r="H86" s="15">
        <v>19.215795516967773</v>
      </c>
      <c r="I86" s="16" t="s">
        <v>190</v>
      </c>
      <c r="J86" s="17">
        <v>18.339443206787109</v>
      </c>
      <c r="K86" s="18" t="s">
        <v>7</v>
      </c>
      <c r="L86" s="19" t="s">
        <v>8</v>
      </c>
      <c r="M86" s="20" t="s">
        <v>10</v>
      </c>
      <c r="N86" s="20" t="s">
        <v>7</v>
      </c>
      <c r="O86" s="20" t="s">
        <v>7</v>
      </c>
      <c r="P86" s="21">
        <f>SUM(Q86:T86)</f>
        <v>3</v>
      </c>
      <c r="Q86" s="33">
        <v>1</v>
      </c>
      <c r="R86" s="21">
        <v>1</v>
      </c>
      <c r="S86" s="21">
        <v>1</v>
      </c>
      <c r="T86" s="21">
        <v>0</v>
      </c>
      <c r="U86" s="21">
        <f t="shared" si="1"/>
        <v>3</v>
      </c>
      <c r="V86" s="33">
        <v>1</v>
      </c>
      <c r="W86" s="21">
        <v>1</v>
      </c>
      <c r="X86" s="21">
        <v>1</v>
      </c>
      <c r="Y86" s="21">
        <v>0</v>
      </c>
      <c r="Z86" s="21" t="s">
        <v>299</v>
      </c>
      <c r="AA86" s="21" t="s">
        <v>190</v>
      </c>
      <c r="AB86" s="22" t="s">
        <v>254</v>
      </c>
    </row>
    <row r="87" spans="1:28" s="22" customFormat="1" x14ac:dyDescent="0.2">
      <c r="A87" s="12" t="s">
        <v>94</v>
      </c>
      <c r="B87" s="12" t="s">
        <v>166</v>
      </c>
      <c r="C87" s="12" t="s">
        <v>170</v>
      </c>
      <c r="D87" s="13" t="s">
        <v>7</v>
      </c>
      <c r="E87" s="13" t="s">
        <v>7</v>
      </c>
      <c r="F87" s="12" t="s">
        <v>8</v>
      </c>
      <c r="G87" s="14">
        <v>22.906354904174805</v>
      </c>
      <c r="H87" s="15">
        <v>21.186649322509766</v>
      </c>
      <c r="I87" s="16" t="s">
        <v>189</v>
      </c>
      <c r="J87" s="17">
        <v>18.000785827636719</v>
      </c>
      <c r="K87" s="18" t="s">
        <v>7</v>
      </c>
      <c r="L87" s="19" t="s">
        <v>7</v>
      </c>
      <c r="M87" s="20" t="s">
        <v>7</v>
      </c>
      <c r="N87" s="20" t="s">
        <v>7</v>
      </c>
      <c r="O87" s="20" t="s">
        <v>7</v>
      </c>
      <c r="P87" s="21">
        <f>SUM(Q87:T87)</f>
        <v>4</v>
      </c>
      <c r="Q87" s="33">
        <v>1</v>
      </c>
      <c r="R87" s="21">
        <v>1</v>
      </c>
      <c r="S87" s="21">
        <v>1</v>
      </c>
      <c r="T87" s="33">
        <v>1</v>
      </c>
      <c r="U87" s="21">
        <f t="shared" si="1"/>
        <v>5</v>
      </c>
      <c r="V87" s="33">
        <v>1</v>
      </c>
      <c r="W87" s="21">
        <v>1</v>
      </c>
      <c r="X87" s="21">
        <v>2</v>
      </c>
      <c r="Y87" s="21">
        <v>1</v>
      </c>
      <c r="Z87" s="21" t="s">
        <v>298</v>
      </c>
      <c r="AA87" s="21" t="s">
        <v>189</v>
      </c>
      <c r="AB87" s="22" t="s">
        <v>255</v>
      </c>
    </row>
    <row r="88" spans="1:28" s="22" customFormat="1" x14ac:dyDescent="0.2">
      <c r="A88" s="11" t="s">
        <v>95</v>
      </c>
      <c r="B88" s="11" t="s">
        <v>167</v>
      </c>
      <c r="C88" s="12" t="s">
        <v>170</v>
      </c>
      <c r="D88" s="13" t="s">
        <v>7</v>
      </c>
      <c r="E88" s="13" t="s">
        <v>7</v>
      </c>
      <c r="F88" s="12" t="s">
        <v>8</v>
      </c>
      <c r="G88" s="14">
        <v>28.641326904296875</v>
      </c>
      <c r="H88" s="15">
        <v>19.550178527832031</v>
      </c>
      <c r="I88" s="16" t="s">
        <v>189</v>
      </c>
      <c r="J88" s="17">
        <v>20.116302490234375</v>
      </c>
      <c r="K88" s="18" t="s">
        <v>7</v>
      </c>
      <c r="L88" s="19" t="s">
        <v>7</v>
      </c>
      <c r="M88" s="20" t="s">
        <v>7</v>
      </c>
      <c r="N88" s="20" t="s">
        <v>7</v>
      </c>
      <c r="O88" s="21" t="s">
        <v>8</v>
      </c>
      <c r="P88" s="21">
        <f>SUM(Q88:T88)</f>
        <v>5</v>
      </c>
      <c r="Q88" s="33">
        <v>1</v>
      </c>
      <c r="R88" s="21">
        <v>1</v>
      </c>
      <c r="S88" s="21">
        <v>1</v>
      </c>
      <c r="T88" s="33">
        <v>2</v>
      </c>
      <c r="U88" s="21">
        <f t="shared" si="1"/>
        <v>8</v>
      </c>
      <c r="V88" s="33">
        <v>1</v>
      </c>
      <c r="W88" s="21">
        <v>2</v>
      </c>
      <c r="X88" s="21">
        <v>3</v>
      </c>
      <c r="Y88" s="21">
        <v>2</v>
      </c>
      <c r="Z88" s="21" t="s">
        <v>298</v>
      </c>
      <c r="AA88" s="21" t="s">
        <v>302</v>
      </c>
      <c r="AB88" s="22" t="s">
        <v>256</v>
      </c>
    </row>
    <row r="89" spans="1:28" s="22" customFormat="1" x14ac:dyDescent="0.2">
      <c r="A89" s="11" t="s">
        <v>96</v>
      </c>
      <c r="B89" s="11" t="s">
        <v>167</v>
      </c>
      <c r="C89" s="12" t="s">
        <v>170</v>
      </c>
      <c r="D89" s="13" t="s">
        <v>7</v>
      </c>
      <c r="E89" s="13" t="s">
        <v>7</v>
      </c>
      <c r="F89" s="12" t="s">
        <v>7</v>
      </c>
      <c r="G89" s="14">
        <v>26.593194961547852</v>
      </c>
      <c r="H89" s="15">
        <v>24.304347991943359</v>
      </c>
      <c r="I89" s="16" t="s">
        <v>189</v>
      </c>
      <c r="J89" s="17">
        <v>24.215986251831055</v>
      </c>
      <c r="K89" s="18" t="s">
        <v>7</v>
      </c>
      <c r="L89" s="19" t="s">
        <v>7</v>
      </c>
      <c r="M89" s="20" t="s">
        <v>7</v>
      </c>
      <c r="N89" s="20" t="s">
        <v>7</v>
      </c>
      <c r="O89" s="21" t="s">
        <v>8</v>
      </c>
      <c r="P89" s="21">
        <f>SUM(Q89:T89)</f>
        <v>3</v>
      </c>
      <c r="Q89" s="33">
        <v>0</v>
      </c>
      <c r="R89" s="21">
        <v>1</v>
      </c>
      <c r="S89" s="21">
        <v>1</v>
      </c>
      <c r="T89" s="33">
        <v>1</v>
      </c>
      <c r="U89" s="21">
        <f t="shared" si="1"/>
        <v>5</v>
      </c>
      <c r="V89" s="33">
        <v>1</v>
      </c>
      <c r="W89" s="21">
        <v>1</v>
      </c>
      <c r="X89" s="21">
        <v>2</v>
      </c>
      <c r="Y89" s="21">
        <v>1</v>
      </c>
      <c r="Z89" s="21" t="s">
        <v>298</v>
      </c>
      <c r="AA89" s="21" t="s">
        <v>189</v>
      </c>
      <c r="AB89" s="22" t="s">
        <v>257</v>
      </c>
    </row>
    <row r="90" spans="1:28" s="22" customFormat="1" x14ac:dyDescent="0.2">
      <c r="A90" s="11" t="s">
        <v>97</v>
      </c>
      <c r="B90" s="11" t="s">
        <v>167</v>
      </c>
      <c r="C90" s="12" t="s">
        <v>170</v>
      </c>
      <c r="D90" s="13" t="s">
        <v>7</v>
      </c>
      <c r="E90" s="13" t="s">
        <v>7</v>
      </c>
      <c r="F90" s="12" t="s">
        <v>8</v>
      </c>
      <c r="G90" s="14">
        <v>19.113527297973633</v>
      </c>
      <c r="H90" s="15">
        <v>17.561313629150391</v>
      </c>
      <c r="I90" s="16" t="s">
        <v>189</v>
      </c>
      <c r="J90" s="17">
        <v>24.726352691650391</v>
      </c>
      <c r="K90" s="18" t="s">
        <v>7</v>
      </c>
      <c r="L90" s="19" t="s">
        <v>7</v>
      </c>
      <c r="M90" s="20" t="s">
        <v>7</v>
      </c>
      <c r="N90" s="20" t="s">
        <v>7</v>
      </c>
      <c r="O90" s="20" t="s">
        <v>7</v>
      </c>
      <c r="P90" s="21">
        <f>SUM(Q90:T90)</f>
        <v>4</v>
      </c>
      <c r="Q90" s="33">
        <v>1</v>
      </c>
      <c r="R90" s="21">
        <v>1</v>
      </c>
      <c r="S90" s="21">
        <v>1</v>
      </c>
      <c r="T90" s="33">
        <v>1</v>
      </c>
      <c r="U90" s="21">
        <f t="shared" si="1"/>
        <v>4</v>
      </c>
      <c r="V90" s="33">
        <v>1</v>
      </c>
      <c r="W90" s="21">
        <v>1</v>
      </c>
      <c r="X90" s="21">
        <v>1</v>
      </c>
      <c r="Y90" s="33">
        <v>1</v>
      </c>
      <c r="Z90" s="33" t="s">
        <v>299</v>
      </c>
      <c r="AA90" s="33" t="s">
        <v>189</v>
      </c>
      <c r="AB90" s="22" t="s">
        <v>258</v>
      </c>
    </row>
    <row r="91" spans="1:28" s="22" customFormat="1" x14ac:dyDescent="0.2">
      <c r="A91" s="11" t="s">
        <v>98</v>
      </c>
      <c r="B91" s="11" t="s">
        <v>167</v>
      </c>
      <c r="C91" s="12" t="s">
        <v>170</v>
      </c>
      <c r="D91" s="13" t="s">
        <v>7</v>
      </c>
      <c r="E91" s="13" t="s">
        <v>7</v>
      </c>
      <c r="F91" s="12" t="s">
        <v>7</v>
      </c>
      <c r="G91" s="12">
        <v>0</v>
      </c>
      <c r="H91" s="15">
        <v>28.894441604614258</v>
      </c>
      <c r="I91" s="16" t="s">
        <v>190</v>
      </c>
      <c r="J91" s="17">
        <v>20.005487442016602</v>
      </c>
      <c r="K91" s="18" t="s">
        <v>7</v>
      </c>
      <c r="L91" s="19" t="s">
        <v>8</v>
      </c>
      <c r="M91" s="20" t="s">
        <v>8</v>
      </c>
      <c r="N91" s="20" t="s">
        <v>7</v>
      </c>
      <c r="O91" s="20" t="s">
        <v>8</v>
      </c>
      <c r="P91" s="21">
        <f>SUM(Q91:T91)</f>
        <v>2</v>
      </c>
      <c r="Q91" s="33">
        <v>0</v>
      </c>
      <c r="R91" s="21">
        <v>1</v>
      </c>
      <c r="S91" s="21">
        <v>1</v>
      </c>
      <c r="T91" s="21">
        <v>0</v>
      </c>
      <c r="U91" s="21">
        <f t="shared" si="1"/>
        <v>5</v>
      </c>
      <c r="V91" s="33">
        <v>1</v>
      </c>
      <c r="W91" s="21">
        <v>1</v>
      </c>
      <c r="X91" s="21">
        <v>2</v>
      </c>
      <c r="Y91" s="33">
        <v>1</v>
      </c>
      <c r="Z91" s="33" t="s">
        <v>298</v>
      </c>
      <c r="AA91" s="33" t="s">
        <v>190</v>
      </c>
      <c r="AB91" s="22" t="s">
        <v>259</v>
      </c>
    </row>
    <row r="92" spans="1:28" s="22" customFormat="1" x14ac:dyDescent="0.2">
      <c r="A92" s="11" t="s">
        <v>99</v>
      </c>
      <c r="B92" s="11" t="s">
        <v>167</v>
      </c>
      <c r="C92" s="12" t="s">
        <v>170</v>
      </c>
      <c r="D92" s="13" t="s">
        <v>7</v>
      </c>
      <c r="E92" s="13" t="s">
        <v>7</v>
      </c>
      <c r="F92" s="12" t="s">
        <v>8</v>
      </c>
      <c r="G92" s="14">
        <v>15.43083667755127</v>
      </c>
      <c r="H92" s="15">
        <v>13.647868156433105</v>
      </c>
      <c r="I92" s="16" t="s">
        <v>189</v>
      </c>
      <c r="J92" s="17">
        <v>21.710317611694336</v>
      </c>
      <c r="K92" s="18" t="s">
        <v>7</v>
      </c>
      <c r="L92" s="19" t="s">
        <v>7</v>
      </c>
      <c r="M92" s="20" t="s">
        <v>7</v>
      </c>
      <c r="N92" s="20" t="s">
        <v>7</v>
      </c>
      <c r="O92" s="20" t="s">
        <v>7</v>
      </c>
      <c r="P92" s="21">
        <f>SUM(Q92:T92)</f>
        <v>4</v>
      </c>
      <c r="Q92" s="33">
        <v>1</v>
      </c>
      <c r="R92" s="21">
        <v>1</v>
      </c>
      <c r="S92" s="21">
        <v>1</v>
      </c>
      <c r="T92" s="33">
        <v>1</v>
      </c>
      <c r="U92" s="21">
        <f t="shared" si="1"/>
        <v>5</v>
      </c>
      <c r="V92" s="33">
        <v>1</v>
      </c>
      <c r="W92" s="21">
        <v>1</v>
      </c>
      <c r="X92" s="21">
        <v>2</v>
      </c>
      <c r="Y92" s="33">
        <v>1</v>
      </c>
      <c r="Z92" s="33" t="s">
        <v>298</v>
      </c>
      <c r="AA92" s="33" t="s">
        <v>189</v>
      </c>
      <c r="AB92" s="22" t="s">
        <v>260</v>
      </c>
    </row>
    <row r="93" spans="1:28" s="22" customFormat="1" x14ac:dyDescent="0.2">
      <c r="A93" s="11" t="s">
        <v>100</v>
      </c>
      <c r="B93" s="11" t="s">
        <v>167</v>
      </c>
      <c r="C93" s="12" t="s">
        <v>170</v>
      </c>
      <c r="D93" s="13" t="s">
        <v>7</v>
      </c>
      <c r="E93" s="13" t="s">
        <v>7</v>
      </c>
      <c r="F93" s="12" t="s">
        <v>8</v>
      </c>
      <c r="G93" s="14">
        <v>30.821685791015625</v>
      </c>
      <c r="H93" s="15">
        <v>19.70277214050293</v>
      </c>
      <c r="I93" s="16" t="s">
        <v>190</v>
      </c>
      <c r="J93" s="17">
        <v>20.923379898071289</v>
      </c>
      <c r="K93" s="18" t="s">
        <v>7</v>
      </c>
      <c r="L93" s="19" t="s">
        <v>8</v>
      </c>
      <c r="M93" s="20" t="s">
        <v>10</v>
      </c>
      <c r="N93" s="20" t="s">
        <v>7</v>
      </c>
      <c r="O93" s="21" t="s">
        <v>8</v>
      </c>
      <c r="P93" s="21">
        <f>SUM(Q93:T93)</f>
        <v>3</v>
      </c>
      <c r="Q93" s="33">
        <v>1</v>
      </c>
      <c r="R93" s="21">
        <v>1</v>
      </c>
      <c r="S93" s="21">
        <v>1</v>
      </c>
      <c r="T93" s="21">
        <v>0</v>
      </c>
      <c r="U93" s="21">
        <f t="shared" si="1"/>
        <v>3</v>
      </c>
      <c r="V93" s="33">
        <v>1</v>
      </c>
      <c r="W93" s="21">
        <v>1</v>
      </c>
      <c r="X93" s="21">
        <v>1</v>
      </c>
      <c r="Y93" s="21">
        <v>0</v>
      </c>
      <c r="Z93" s="21" t="s">
        <v>299</v>
      </c>
      <c r="AA93" s="21" t="s">
        <v>190</v>
      </c>
      <c r="AB93" s="22" t="s">
        <v>266</v>
      </c>
    </row>
    <row r="94" spans="1:28" s="22" customFormat="1" x14ac:dyDescent="0.2">
      <c r="A94" s="11" t="s">
        <v>101</v>
      </c>
      <c r="B94" s="11" t="s">
        <v>167</v>
      </c>
      <c r="C94" s="12" t="s">
        <v>170</v>
      </c>
      <c r="D94" s="13" t="s">
        <v>7</v>
      </c>
      <c r="E94" s="13" t="s">
        <v>7</v>
      </c>
      <c r="F94" s="12" t="s">
        <v>8</v>
      </c>
      <c r="G94" s="14">
        <v>15.809910774230957</v>
      </c>
      <c r="H94" s="15">
        <v>15.928494453430176</v>
      </c>
      <c r="I94" s="16" t="s">
        <v>189</v>
      </c>
      <c r="J94" s="17">
        <v>22.256006240844727</v>
      </c>
      <c r="K94" s="18" t="s">
        <v>7</v>
      </c>
      <c r="L94" s="19" t="s">
        <v>7</v>
      </c>
      <c r="M94" s="20" t="s">
        <v>7</v>
      </c>
      <c r="N94" s="20" t="s">
        <v>7</v>
      </c>
      <c r="O94" s="20" t="s">
        <v>7</v>
      </c>
      <c r="P94" s="21">
        <f>SUM(Q94:T94)</f>
        <v>4</v>
      </c>
      <c r="Q94" s="33">
        <v>1</v>
      </c>
      <c r="R94" s="21">
        <v>1</v>
      </c>
      <c r="S94" s="21">
        <v>1</v>
      </c>
      <c r="T94" s="33">
        <v>1</v>
      </c>
      <c r="U94" s="21">
        <f t="shared" si="1"/>
        <v>4</v>
      </c>
      <c r="V94" s="33">
        <v>1</v>
      </c>
      <c r="W94" s="21">
        <v>1</v>
      </c>
      <c r="X94" s="21">
        <v>1</v>
      </c>
      <c r="Y94" s="33">
        <v>1</v>
      </c>
      <c r="Z94" s="33" t="s">
        <v>299</v>
      </c>
      <c r="AA94" s="33" t="s">
        <v>189</v>
      </c>
      <c r="AB94" s="22" t="s">
        <v>267</v>
      </c>
    </row>
    <row r="95" spans="1:28" s="22" customFormat="1" x14ac:dyDescent="0.2">
      <c r="A95" s="11" t="s">
        <v>102</v>
      </c>
      <c r="B95" s="11" t="s">
        <v>167</v>
      </c>
      <c r="C95" s="12" t="s">
        <v>170</v>
      </c>
      <c r="D95" s="13" t="s">
        <v>7</v>
      </c>
      <c r="E95" s="13" t="s">
        <v>7</v>
      </c>
      <c r="F95" s="12" t="s">
        <v>7</v>
      </c>
      <c r="G95" s="14">
        <v>27.780387878417969</v>
      </c>
      <c r="H95" s="15">
        <v>27.111026763916016</v>
      </c>
      <c r="I95" s="16" t="s">
        <v>189</v>
      </c>
      <c r="J95" s="17">
        <v>19.45030403137207</v>
      </c>
      <c r="K95" s="18" t="s">
        <v>7</v>
      </c>
      <c r="L95" s="19" t="s">
        <v>8</v>
      </c>
      <c r="M95" s="20" t="s">
        <v>8</v>
      </c>
      <c r="N95" s="20" t="s">
        <v>7</v>
      </c>
      <c r="O95" s="21" t="s">
        <v>8</v>
      </c>
      <c r="P95" s="21">
        <f>SUM(Q95:T95)</f>
        <v>0</v>
      </c>
      <c r="Q95" s="21">
        <v>0</v>
      </c>
      <c r="R95" s="21">
        <v>0</v>
      </c>
      <c r="S95" s="21">
        <v>0</v>
      </c>
      <c r="T95" s="21">
        <v>0</v>
      </c>
      <c r="U95" s="21">
        <f t="shared" si="1"/>
        <v>4</v>
      </c>
      <c r="V95" s="21">
        <v>1</v>
      </c>
      <c r="W95" s="21">
        <v>1</v>
      </c>
      <c r="X95" s="21">
        <v>1</v>
      </c>
      <c r="Y95" s="21">
        <v>1</v>
      </c>
      <c r="Z95" s="21" t="s">
        <v>299</v>
      </c>
      <c r="AA95" s="21" t="s">
        <v>10</v>
      </c>
    </row>
    <row r="96" spans="1:28" s="22" customFormat="1" x14ac:dyDescent="0.2">
      <c r="A96" s="11" t="s">
        <v>103</v>
      </c>
      <c r="B96" s="11" t="s">
        <v>167</v>
      </c>
      <c r="C96" s="12" t="s">
        <v>170</v>
      </c>
      <c r="D96" s="13" t="s">
        <v>7</v>
      </c>
      <c r="E96" s="13" t="s">
        <v>7</v>
      </c>
      <c r="F96" s="12" t="s">
        <v>8</v>
      </c>
      <c r="G96" s="14">
        <v>27.568275451660156</v>
      </c>
      <c r="H96" s="15">
        <v>19.065677642822266</v>
      </c>
      <c r="I96" s="16" t="s">
        <v>189</v>
      </c>
      <c r="J96" s="17">
        <v>18.497718811035156</v>
      </c>
      <c r="K96" s="18" t="s">
        <v>7</v>
      </c>
      <c r="L96" s="19" t="s">
        <v>8</v>
      </c>
      <c r="M96" s="20" t="s">
        <v>10</v>
      </c>
      <c r="N96" s="20" t="s">
        <v>7</v>
      </c>
      <c r="O96" s="20" t="s">
        <v>7</v>
      </c>
      <c r="P96" s="21">
        <f>SUM(Q96:T96)</f>
        <v>3</v>
      </c>
      <c r="Q96" s="33">
        <v>1</v>
      </c>
      <c r="R96" s="21">
        <v>1</v>
      </c>
      <c r="S96" s="21">
        <v>1</v>
      </c>
      <c r="T96" s="21">
        <v>0</v>
      </c>
      <c r="U96" s="21">
        <f t="shared" si="1"/>
        <v>4</v>
      </c>
      <c r="V96" s="21">
        <v>1</v>
      </c>
      <c r="W96" s="21">
        <v>2</v>
      </c>
      <c r="X96" s="21">
        <v>1</v>
      </c>
      <c r="Y96" s="21">
        <v>0</v>
      </c>
      <c r="Z96" s="21" t="s">
        <v>298</v>
      </c>
      <c r="AA96" s="21" t="s">
        <v>190</v>
      </c>
      <c r="AB96" s="22" t="s">
        <v>268</v>
      </c>
    </row>
    <row r="97" spans="1:28" s="22" customFormat="1" x14ac:dyDescent="0.2">
      <c r="A97" s="11" t="s">
        <v>104</v>
      </c>
      <c r="B97" s="11" t="s">
        <v>167</v>
      </c>
      <c r="C97" s="12" t="s">
        <v>170</v>
      </c>
      <c r="D97" s="13" t="s">
        <v>7</v>
      </c>
      <c r="E97" s="13" t="s">
        <v>7</v>
      </c>
      <c r="F97" s="12" t="s">
        <v>8</v>
      </c>
      <c r="G97" s="14">
        <v>29.613161087036133</v>
      </c>
      <c r="H97" s="15">
        <v>19.867565155029297</v>
      </c>
      <c r="I97" s="16" t="s">
        <v>189</v>
      </c>
      <c r="J97" s="17">
        <v>22.790994644165039</v>
      </c>
      <c r="K97" s="18" t="s">
        <v>7</v>
      </c>
      <c r="L97" s="19" t="s">
        <v>8</v>
      </c>
      <c r="M97" s="20" t="s">
        <v>8</v>
      </c>
      <c r="N97" s="20" t="s">
        <v>7</v>
      </c>
      <c r="O97" s="21" t="s">
        <v>7</v>
      </c>
      <c r="P97" s="21">
        <f>SUM(Q97:T97)</f>
        <v>3</v>
      </c>
      <c r="Q97" s="33">
        <v>1</v>
      </c>
      <c r="R97" s="21">
        <v>1</v>
      </c>
      <c r="S97" s="21">
        <v>1</v>
      </c>
      <c r="T97" s="21">
        <v>0</v>
      </c>
      <c r="U97" s="21">
        <f t="shared" si="1"/>
        <v>5</v>
      </c>
      <c r="V97" s="21">
        <v>1</v>
      </c>
      <c r="W97" s="21">
        <v>1</v>
      </c>
      <c r="X97" s="21">
        <v>2</v>
      </c>
      <c r="Y97" s="21">
        <v>1</v>
      </c>
      <c r="Z97" s="21" t="s">
        <v>298</v>
      </c>
      <c r="AA97" s="21" t="s">
        <v>190</v>
      </c>
      <c r="AB97" s="22" t="s">
        <v>269</v>
      </c>
    </row>
    <row r="98" spans="1:28" s="22" customFormat="1" x14ac:dyDescent="0.2">
      <c r="A98" s="11" t="s">
        <v>105</v>
      </c>
      <c r="B98" s="11" t="s">
        <v>167</v>
      </c>
      <c r="C98" s="12" t="s">
        <v>170</v>
      </c>
      <c r="D98" s="13" t="s">
        <v>7</v>
      </c>
      <c r="E98" s="13" t="s">
        <v>7</v>
      </c>
      <c r="F98" s="12" t="s">
        <v>8</v>
      </c>
      <c r="G98" s="14">
        <v>27.079105377197266</v>
      </c>
      <c r="H98" s="15">
        <v>23.091428756713867</v>
      </c>
      <c r="I98" s="16" t="s">
        <v>189</v>
      </c>
      <c r="J98" s="17">
        <v>21.530197143554688</v>
      </c>
      <c r="K98" s="18" t="s">
        <v>7</v>
      </c>
      <c r="L98" s="19" t="s">
        <v>8</v>
      </c>
      <c r="M98" s="20" t="s">
        <v>10</v>
      </c>
      <c r="N98" s="20" t="s">
        <v>7</v>
      </c>
      <c r="O98" s="20" t="s">
        <v>7</v>
      </c>
      <c r="P98" s="21">
        <f>SUM(Q98:T98)</f>
        <v>3</v>
      </c>
      <c r="Q98" s="33">
        <v>1</v>
      </c>
      <c r="R98" s="21">
        <v>1</v>
      </c>
      <c r="S98" s="21">
        <v>1</v>
      </c>
      <c r="T98" s="21">
        <v>0</v>
      </c>
      <c r="U98" s="21">
        <f t="shared" si="1"/>
        <v>4</v>
      </c>
      <c r="V98" s="21">
        <v>1</v>
      </c>
      <c r="W98" s="21">
        <v>2</v>
      </c>
      <c r="X98" s="21">
        <v>1</v>
      </c>
      <c r="Y98" s="21">
        <v>0</v>
      </c>
      <c r="Z98" s="21" t="s">
        <v>298</v>
      </c>
      <c r="AA98" s="21" t="s">
        <v>190</v>
      </c>
      <c r="AB98" s="22" t="s">
        <v>270</v>
      </c>
    </row>
    <row r="99" spans="1:28" s="22" customFormat="1" x14ac:dyDescent="0.2">
      <c r="A99" s="11" t="s">
        <v>106</v>
      </c>
      <c r="B99" s="11" t="s">
        <v>167</v>
      </c>
      <c r="C99" s="12" t="s">
        <v>170</v>
      </c>
      <c r="D99" s="13" t="s">
        <v>7</v>
      </c>
      <c r="E99" s="13" t="s">
        <v>7</v>
      </c>
      <c r="F99" s="12" t="s">
        <v>8</v>
      </c>
      <c r="G99" s="14">
        <v>30.286174774169922</v>
      </c>
      <c r="H99" s="15">
        <v>20.410749435424805</v>
      </c>
      <c r="I99" s="16" t="s">
        <v>190</v>
      </c>
      <c r="J99" s="17">
        <v>18.890800476074219</v>
      </c>
      <c r="K99" s="18" t="s">
        <v>7</v>
      </c>
      <c r="L99" s="19" t="s">
        <v>8</v>
      </c>
      <c r="M99" s="20" t="s">
        <v>10</v>
      </c>
      <c r="N99" s="20" t="s">
        <v>7</v>
      </c>
      <c r="O99" s="20" t="s">
        <v>7</v>
      </c>
      <c r="P99" s="21">
        <f>SUM(Q99:T99)</f>
        <v>3</v>
      </c>
      <c r="Q99" s="33">
        <v>1</v>
      </c>
      <c r="R99" s="21">
        <v>1</v>
      </c>
      <c r="S99" s="21">
        <v>1</v>
      </c>
      <c r="T99" s="21">
        <v>0</v>
      </c>
      <c r="U99" s="21">
        <f t="shared" si="1"/>
        <v>3</v>
      </c>
      <c r="V99" s="33">
        <v>1</v>
      </c>
      <c r="W99" s="21">
        <v>1</v>
      </c>
      <c r="X99" s="21">
        <v>1</v>
      </c>
      <c r="Y99" s="21">
        <v>0</v>
      </c>
      <c r="Z99" s="21" t="s">
        <v>299</v>
      </c>
      <c r="AA99" s="21" t="s">
        <v>190</v>
      </c>
      <c r="AB99" s="22" t="s">
        <v>271</v>
      </c>
    </row>
    <row r="100" spans="1:28" s="22" customFormat="1" x14ac:dyDescent="0.2">
      <c r="A100" s="11" t="s">
        <v>107</v>
      </c>
      <c r="B100" s="11" t="s">
        <v>167</v>
      </c>
      <c r="C100" s="12" t="s">
        <v>170</v>
      </c>
      <c r="D100" s="13" t="s">
        <v>7</v>
      </c>
      <c r="E100" s="13" t="s">
        <v>7</v>
      </c>
      <c r="F100" s="12" t="s">
        <v>8</v>
      </c>
      <c r="G100" s="14">
        <v>19.274736404418945</v>
      </c>
      <c r="H100" s="15">
        <v>16.39472770690918</v>
      </c>
      <c r="I100" s="16" t="s">
        <v>189</v>
      </c>
      <c r="J100" s="17">
        <v>22.249679565429688</v>
      </c>
      <c r="K100" s="18" t="s">
        <v>7</v>
      </c>
      <c r="L100" s="19" t="s">
        <v>7</v>
      </c>
      <c r="M100" s="20" t="s">
        <v>7</v>
      </c>
      <c r="N100" s="20" t="s">
        <v>7</v>
      </c>
      <c r="O100" s="20" t="s">
        <v>7</v>
      </c>
      <c r="P100" s="21">
        <f>SUM(Q100:T100)</f>
        <v>5</v>
      </c>
      <c r="Q100" s="33">
        <v>1</v>
      </c>
      <c r="R100" s="33">
        <v>1</v>
      </c>
      <c r="S100" s="33">
        <v>1</v>
      </c>
      <c r="T100" s="33">
        <v>2</v>
      </c>
      <c r="U100" s="21">
        <f t="shared" si="1"/>
        <v>6</v>
      </c>
      <c r="V100" s="33">
        <v>1</v>
      </c>
      <c r="W100" s="21">
        <v>1</v>
      </c>
      <c r="X100" s="21">
        <v>2</v>
      </c>
      <c r="Y100" s="21">
        <v>2</v>
      </c>
      <c r="Z100" s="21" t="s">
        <v>298</v>
      </c>
      <c r="AA100" s="21" t="s">
        <v>189</v>
      </c>
      <c r="AB100" s="22" t="s">
        <v>261</v>
      </c>
    </row>
    <row r="101" spans="1:28" s="22" customFormat="1" x14ac:dyDescent="0.2">
      <c r="A101" s="11" t="s">
        <v>108</v>
      </c>
      <c r="B101" s="11" t="s">
        <v>167</v>
      </c>
      <c r="C101" s="12" t="s">
        <v>170</v>
      </c>
      <c r="D101" s="13" t="s">
        <v>7</v>
      </c>
      <c r="E101" s="13" t="s">
        <v>7</v>
      </c>
      <c r="F101" s="12" t="s">
        <v>8</v>
      </c>
      <c r="G101" s="14">
        <v>29.278375625610352</v>
      </c>
      <c r="H101" s="15">
        <v>19.81370735168457</v>
      </c>
      <c r="I101" s="16" t="s">
        <v>189</v>
      </c>
      <c r="J101" s="17">
        <v>19.487062454223633</v>
      </c>
      <c r="K101" s="18" t="s">
        <v>7</v>
      </c>
      <c r="L101" s="19" t="s">
        <v>8</v>
      </c>
      <c r="M101" s="20" t="s">
        <v>8</v>
      </c>
      <c r="N101" s="20" t="s">
        <v>7</v>
      </c>
      <c r="O101" s="20" t="s">
        <v>7</v>
      </c>
      <c r="P101" s="21">
        <f>SUM(Q101:T101)</f>
        <v>3</v>
      </c>
      <c r="Q101" s="33">
        <v>1</v>
      </c>
      <c r="R101" s="33">
        <v>1</v>
      </c>
      <c r="S101" s="33">
        <v>1</v>
      </c>
      <c r="T101" s="33">
        <v>0</v>
      </c>
      <c r="U101" s="21">
        <f t="shared" si="1"/>
        <v>4</v>
      </c>
      <c r="V101" s="33">
        <v>1</v>
      </c>
      <c r="W101" s="33">
        <v>1</v>
      </c>
      <c r="X101" s="33">
        <v>1</v>
      </c>
      <c r="Y101" s="33">
        <v>1</v>
      </c>
      <c r="Z101" s="33" t="s">
        <v>299</v>
      </c>
      <c r="AA101" s="33" t="s">
        <v>190</v>
      </c>
      <c r="AB101" s="22" t="s">
        <v>272</v>
      </c>
    </row>
    <row r="102" spans="1:28" s="22" customFormat="1" x14ac:dyDescent="0.2">
      <c r="A102" s="11" t="s">
        <v>109</v>
      </c>
      <c r="B102" s="11" t="s">
        <v>167</v>
      </c>
      <c r="C102" s="11" t="s">
        <v>172</v>
      </c>
      <c r="D102" s="13" t="s">
        <v>7</v>
      </c>
      <c r="E102" s="13" t="s">
        <v>7</v>
      </c>
      <c r="F102" s="12" t="s">
        <v>8</v>
      </c>
      <c r="G102" s="14">
        <v>26.39097785949707</v>
      </c>
      <c r="H102" s="15">
        <v>22.326189041137695</v>
      </c>
      <c r="I102" s="16" t="s">
        <v>189</v>
      </c>
      <c r="J102" s="17">
        <v>21.33843994140625</v>
      </c>
      <c r="K102" s="18" t="s">
        <v>7</v>
      </c>
      <c r="L102" s="19" t="s">
        <v>7</v>
      </c>
      <c r="M102" s="20" t="s">
        <v>7</v>
      </c>
      <c r="N102" s="20" t="s">
        <v>7</v>
      </c>
      <c r="O102" s="20" t="s">
        <v>7</v>
      </c>
      <c r="P102" s="21">
        <f>SUM(Q102:T102)</f>
        <v>4</v>
      </c>
      <c r="Q102" s="39">
        <v>1</v>
      </c>
      <c r="R102" s="33">
        <v>1</v>
      </c>
      <c r="S102" s="33">
        <v>1</v>
      </c>
      <c r="T102" s="33">
        <v>1</v>
      </c>
      <c r="U102" s="21">
        <f t="shared" si="1"/>
        <v>5</v>
      </c>
      <c r="V102" s="33">
        <v>1</v>
      </c>
      <c r="W102" s="33">
        <v>1</v>
      </c>
      <c r="X102" s="33">
        <v>2</v>
      </c>
      <c r="Y102" s="33">
        <v>1</v>
      </c>
      <c r="Z102" s="33" t="s">
        <v>298</v>
      </c>
      <c r="AA102" s="33" t="s">
        <v>189</v>
      </c>
      <c r="AB102" s="22" t="s">
        <v>293</v>
      </c>
    </row>
    <row r="103" spans="1:28" s="22" customFormat="1" x14ac:dyDescent="0.2">
      <c r="A103" s="11" t="s">
        <v>110</v>
      </c>
      <c r="B103" s="11" t="s">
        <v>167</v>
      </c>
      <c r="C103" s="11" t="s">
        <v>170</v>
      </c>
      <c r="D103" s="13" t="s">
        <v>7</v>
      </c>
      <c r="E103" s="13" t="s">
        <v>7</v>
      </c>
      <c r="F103" s="12" t="s">
        <v>8</v>
      </c>
      <c r="G103" s="14">
        <v>30.284736633300781</v>
      </c>
      <c r="H103" s="15">
        <v>20.61224365234375</v>
      </c>
      <c r="I103" s="16" t="s">
        <v>190</v>
      </c>
      <c r="J103" s="17">
        <v>19.830377578735352</v>
      </c>
      <c r="K103" s="18" t="s">
        <v>7</v>
      </c>
      <c r="L103" s="19" t="s">
        <v>8</v>
      </c>
      <c r="M103" s="20" t="s">
        <v>10</v>
      </c>
      <c r="N103" s="20" t="s">
        <v>7</v>
      </c>
      <c r="O103" s="20" t="s">
        <v>7</v>
      </c>
      <c r="P103" s="21">
        <f>SUM(Q103:T103)</f>
        <v>3</v>
      </c>
      <c r="Q103" s="33">
        <v>1</v>
      </c>
      <c r="R103" s="33">
        <v>1</v>
      </c>
      <c r="S103" s="33">
        <v>1</v>
      </c>
      <c r="T103" s="33">
        <v>0</v>
      </c>
      <c r="U103" s="21">
        <f t="shared" si="1"/>
        <v>4</v>
      </c>
      <c r="V103" s="33">
        <v>1</v>
      </c>
      <c r="W103" s="33">
        <v>2</v>
      </c>
      <c r="X103" s="33">
        <v>1</v>
      </c>
      <c r="Y103" s="33">
        <v>0</v>
      </c>
      <c r="Z103" s="33" t="s">
        <v>298</v>
      </c>
      <c r="AA103" s="33" t="s">
        <v>190</v>
      </c>
      <c r="AB103" s="22" t="s">
        <v>262</v>
      </c>
    </row>
    <row r="104" spans="1:28" s="22" customFormat="1" x14ac:dyDescent="0.2">
      <c r="A104" s="11" t="s">
        <v>111</v>
      </c>
      <c r="B104" s="11" t="s">
        <v>167</v>
      </c>
      <c r="C104" s="11" t="s">
        <v>170</v>
      </c>
      <c r="D104" s="13" t="s">
        <v>7</v>
      </c>
      <c r="E104" s="13" t="s">
        <v>7</v>
      </c>
      <c r="F104" s="12" t="s">
        <v>8</v>
      </c>
      <c r="G104" s="14">
        <v>24.690008163452148</v>
      </c>
      <c r="H104" s="15">
        <v>17.871177673339844</v>
      </c>
      <c r="I104" s="16" t="s">
        <v>189</v>
      </c>
      <c r="J104" s="17">
        <v>23.450597763061523</v>
      </c>
      <c r="K104" s="18" t="s">
        <v>7</v>
      </c>
      <c r="L104" s="19" t="s">
        <v>8</v>
      </c>
      <c r="M104" s="20" t="s">
        <v>10</v>
      </c>
      <c r="N104" s="20" t="s">
        <v>7</v>
      </c>
      <c r="O104" s="20" t="s">
        <v>7</v>
      </c>
      <c r="P104" s="21">
        <f>SUM(Q104:T104)</f>
        <v>3</v>
      </c>
      <c r="Q104" s="33">
        <v>1</v>
      </c>
      <c r="R104" s="33">
        <v>1</v>
      </c>
      <c r="S104" s="33">
        <v>1</v>
      </c>
      <c r="T104" s="33">
        <v>0</v>
      </c>
      <c r="U104" s="21">
        <f t="shared" si="1"/>
        <v>3</v>
      </c>
      <c r="V104" s="33">
        <v>1</v>
      </c>
      <c r="W104" s="33">
        <v>1</v>
      </c>
      <c r="X104" s="33">
        <v>1</v>
      </c>
      <c r="Y104" s="33">
        <v>0</v>
      </c>
      <c r="Z104" s="33" t="s">
        <v>299</v>
      </c>
      <c r="AA104" s="33" t="s">
        <v>190</v>
      </c>
      <c r="AB104" s="22" t="s">
        <v>263</v>
      </c>
    </row>
    <row r="105" spans="1:28" s="22" customFormat="1" x14ac:dyDescent="0.2">
      <c r="A105" s="11" t="s">
        <v>112</v>
      </c>
      <c r="B105" s="11" t="s">
        <v>167</v>
      </c>
      <c r="C105" s="11" t="s">
        <v>170</v>
      </c>
      <c r="D105" s="13" t="s">
        <v>7</v>
      </c>
      <c r="E105" s="13" t="s">
        <v>7</v>
      </c>
      <c r="F105" s="12" t="s">
        <v>8</v>
      </c>
      <c r="G105" s="14">
        <v>26.762130737304688</v>
      </c>
      <c r="H105" s="15">
        <v>19.456094741821289</v>
      </c>
      <c r="I105" s="16" t="s">
        <v>189</v>
      </c>
      <c r="J105" s="17">
        <v>19.128326416015625</v>
      </c>
      <c r="K105" s="18" t="s">
        <v>7</v>
      </c>
      <c r="L105" s="19" t="s">
        <v>7</v>
      </c>
      <c r="M105" s="20" t="s">
        <v>7</v>
      </c>
      <c r="N105" s="20" t="s">
        <v>7</v>
      </c>
      <c r="O105" s="20" t="s">
        <v>7</v>
      </c>
      <c r="P105" s="21">
        <f>SUM(Q105:T105)</f>
        <v>7</v>
      </c>
      <c r="Q105" s="33">
        <v>2</v>
      </c>
      <c r="R105" s="33">
        <v>2</v>
      </c>
      <c r="S105" s="33">
        <v>2</v>
      </c>
      <c r="T105" s="33">
        <v>1</v>
      </c>
      <c r="U105" s="21">
        <f t="shared" si="1"/>
        <v>7</v>
      </c>
      <c r="V105" s="33">
        <v>2</v>
      </c>
      <c r="W105" s="33">
        <v>2</v>
      </c>
      <c r="X105" s="33">
        <v>2</v>
      </c>
      <c r="Y105" s="33">
        <v>1</v>
      </c>
      <c r="Z105" s="33" t="s">
        <v>298</v>
      </c>
      <c r="AA105" s="33" t="s">
        <v>302</v>
      </c>
      <c r="AB105" s="22" t="s">
        <v>264</v>
      </c>
    </row>
    <row r="106" spans="1:28" s="22" customFormat="1" x14ac:dyDescent="0.2">
      <c r="A106" s="11" t="s">
        <v>113</v>
      </c>
      <c r="B106" s="11" t="s">
        <v>167</v>
      </c>
      <c r="C106" s="11" t="s">
        <v>170</v>
      </c>
      <c r="D106" s="13" t="s">
        <v>7</v>
      </c>
      <c r="E106" s="13" t="s">
        <v>7</v>
      </c>
      <c r="F106" s="12" t="s">
        <v>8</v>
      </c>
      <c r="G106" s="14">
        <v>24.590238571166992</v>
      </c>
      <c r="H106" s="15">
        <v>22.794321060180664</v>
      </c>
      <c r="I106" s="16" t="s">
        <v>189</v>
      </c>
      <c r="J106" s="17">
        <v>19.594181060791016</v>
      </c>
      <c r="K106" s="18" t="s">
        <v>7</v>
      </c>
      <c r="L106" s="19" t="s">
        <v>7</v>
      </c>
      <c r="M106" s="20" t="s">
        <v>7</v>
      </c>
      <c r="N106" s="20" t="s">
        <v>7</v>
      </c>
      <c r="O106" s="20" t="s">
        <v>8</v>
      </c>
      <c r="P106" s="21">
        <f>SUM(Q106:T106)</f>
        <v>5</v>
      </c>
      <c r="Q106" s="33">
        <v>1</v>
      </c>
      <c r="R106" s="33">
        <v>1</v>
      </c>
      <c r="S106" s="33">
        <v>2</v>
      </c>
      <c r="T106" s="33">
        <v>1</v>
      </c>
      <c r="U106" s="21">
        <f t="shared" si="1"/>
        <v>6</v>
      </c>
      <c r="V106" s="33">
        <v>1</v>
      </c>
      <c r="W106" s="33">
        <v>1</v>
      </c>
      <c r="X106" s="33">
        <v>2</v>
      </c>
      <c r="Y106" s="33">
        <v>2</v>
      </c>
      <c r="Z106" s="33" t="s">
        <v>298</v>
      </c>
      <c r="AA106" s="33" t="s">
        <v>189</v>
      </c>
      <c r="AB106" s="22" t="s">
        <v>265</v>
      </c>
    </row>
    <row r="107" spans="1:28" s="22" customFormat="1" x14ac:dyDescent="0.2">
      <c r="A107" s="11" t="s">
        <v>114</v>
      </c>
      <c r="B107" s="11" t="s">
        <v>167</v>
      </c>
      <c r="C107" s="11" t="s">
        <v>170</v>
      </c>
      <c r="D107" s="13" t="s">
        <v>7</v>
      </c>
      <c r="E107" s="13" t="s">
        <v>8</v>
      </c>
      <c r="F107" s="12" t="s">
        <v>7</v>
      </c>
      <c r="G107" s="14">
        <v>33.384731292724609</v>
      </c>
      <c r="H107" s="15">
        <v>27.358892440795898</v>
      </c>
      <c r="I107" s="16" t="s">
        <v>190</v>
      </c>
      <c r="J107" s="17">
        <v>20.835861206054688</v>
      </c>
      <c r="K107" s="18" t="s">
        <v>7</v>
      </c>
      <c r="L107" s="19" t="s">
        <v>8</v>
      </c>
      <c r="M107" s="20" t="s">
        <v>10</v>
      </c>
      <c r="N107" s="20" t="s">
        <v>7</v>
      </c>
      <c r="O107" s="20" t="s">
        <v>8</v>
      </c>
      <c r="P107" s="21">
        <f>SUM(Q107:T107)</f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f t="shared" si="1"/>
        <v>2</v>
      </c>
      <c r="V107" s="21">
        <v>0</v>
      </c>
      <c r="W107" s="21">
        <v>1</v>
      </c>
      <c r="X107" s="21">
        <v>1</v>
      </c>
      <c r="Y107" s="21">
        <v>0</v>
      </c>
      <c r="Z107" s="21" t="s">
        <v>299</v>
      </c>
      <c r="AA107" s="21" t="s">
        <v>10</v>
      </c>
    </row>
    <row r="108" spans="1:28" s="22" customFormat="1" x14ac:dyDescent="0.2">
      <c r="A108" s="12" t="s">
        <v>115</v>
      </c>
      <c r="B108" s="12" t="s">
        <v>166</v>
      </c>
      <c r="C108" s="11" t="s">
        <v>170</v>
      </c>
      <c r="D108" s="13" t="s">
        <v>8</v>
      </c>
      <c r="E108" s="13" t="s">
        <v>10</v>
      </c>
      <c r="F108" s="12" t="s">
        <v>7</v>
      </c>
      <c r="G108" s="23">
        <v>27.587</v>
      </c>
      <c r="H108" s="24">
        <v>26.571657180786133</v>
      </c>
      <c r="I108" s="16" t="s">
        <v>189</v>
      </c>
      <c r="J108" s="17">
        <v>15.869529724121094</v>
      </c>
      <c r="K108" s="18" t="s">
        <v>7</v>
      </c>
      <c r="L108" s="19" t="s">
        <v>8</v>
      </c>
      <c r="M108" s="20" t="s">
        <v>10</v>
      </c>
      <c r="N108" s="20" t="s">
        <v>8</v>
      </c>
      <c r="O108" s="20" t="s">
        <v>10</v>
      </c>
      <c r="P108" s="21">
        <f>SUM(Q108:T108)</f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f t="shared" si="1"/>
        <v>1</v>
      </c>
      <c r="V108" s="21">
        <v>0</v>
      </c>
      <c r="W108" s="21">
        <v>0</v>
      </c>
      <c r="X108" s="21">
        <v>0</v>
      </c>
      <c r="Y108" s="21">
        <v>1</v>
      </c>
      <c r="Z108" s="21" t="s">
        <v>299</v>
      </c>
      <c r="AA108" s="21" t="s">
        <v>10</v>
      </c>
    </row>
    <row r="109" spans="1:28" s="22" customFormat="1" x14ac:dyDescent="0.2">
      <c r="A109" s="12" t="s">
        <v>116</v>
      </c>
      <c r="B109" s="12" t="s">
        <v>166</v>
      </c>
      <c r="C109" s="11" t="s">
        <v>170</v>
      </c>
      <c r="D109" s="13" t="s">
        <v>8</v>
      </c>
      <c r="E109" s="13" t="s">
        <v>10</v>
      </c>
      <c r="F109" s="12" t="s">
        <v>7</v>
      </c>
      <c r="G109" s="14">
        <v>29.91956901550293</v>
      </c>
      <c r="H109" s="24">
        <v>28.268905639648438</v>
      </c>
      <c r="I109" s="16" t="s">
        <v>189</v>
      </c>
      <c r="J109" s="17">
        <v>16.415449142456055</v>
      </c>
      <c r="K109" s="18" t="s">
        <v>7</v>
      </c>
      <c r="L109" s="19" t="s">
        <v>8</v>
      </c>
      <c r="M109" s="20" t="s">
        <v>10</v>
      </c>
      <c r="N109" s="20" t="s">
        <v>8</v>
      </c>
      <c r="O109" s="20" t="s">
        <v>10</v>
      </c>
      <c r="P109" s="21">
        <f>SUM(Q109:T109)</f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f t="shared" si="1"/>
        <v>0</v>
      </c>
      <c r="V109" s="21">
        <v>0</v>
      </c>
      <c r="W109" s="21">
        <v>0</v>
      </c>
      <c r="X109" s="21">
        <v>0</v>
      </c>
      <c r="Y109" s="21">
        <v>0</v>
      </c>
      <c r="Z109" s="21" t="s">
        <v>10</v>
      </c>
      <c r="AA109" s="21" t="s">
        <v>10</v>
      </c>
    </row>
    <row r="110" spans="1:28" s="22" customFormat="1" x14ac:dyDescent="0.2">
      <c r="A110" s="12" t="s">
        <v>117</v>
      </c>
      <c r="B110" s="12" t="s">
        <v>166</v>
      </c>
      <c r="C110" s="11" t="s">
        <v>170</v>
      </c>
      <c r="D110" s="13" t="s">
        <v>7</v>
      </c>
      <c r="E110" s="13" t="s">
        <v>7</v>
      </c>
      <c r="F110" s="12" t="s">
        <v>8</v>
      </c>
      <c r="G110" s="14">
        <v>31.985044479370117</v>
      </c>
      <c r="H110" s="24">
        <v>18.465303421020508</v>
      </c>
      <c r="I110" s="16" t="s">
        <v>190</v>
      </c>
      <c r="J110" s="17">
        <v>14.882287979125977</v>
      </c>
      <c r="K110" s="18" t="s">
        <v>7</v>
      </c>
      <c r="L110" s="19" t="s">
        <v>8</v>
      </c>
      <c r="M110" s="20" t="s">
        <v>10</v>
      </c>
      <c r="N110" s="20" t="s">
        <v>7</v>
      </c>
      <c r="O110" s="20" t="s">
        <v>7</v>
      </c>
      <c r="P110" s="21">
        <f>SUM(Q110:T110)</f>
        <v>4</v>
      </c>
      <c r="Q110" s="33">
        <v>1</v>
      </c>
      <c r="R110" s="21">
        <v>1</v>
      </c>
      <c r="S110" s="21">
        <v>2</v>
      </c>
      <c r="T110" s="21">
        <v>0</v>
      </c>
      <c r="U110" s="21">
        <f t="shared" si="1"/>
        <v>4</v>
      </c>
      <c r="V110" s="33">
        <v>1</v>
      </c>
      <c r="W110" s="21">
        <v>1</v>
      </c>
      <c r="X110" s="21">
        <v>2</v>
      </c>
      <c r="Y110" s="21">
        <v>0</v>
      </c>
      <c r="Z110" s="21" t="s">
        <v>298</v>
      </c>
      <c r="AA110" s="21" t="s">
        <v>190</v>
      </c>
      <c r="AB110" s="22" t="s">
        <v>194</v>
      </c>
    </row>
    <row r="111" spans="1:28" s="22" customFormat="1" x14ac:dyDescent="0.2">
      <c r="A111" s="12" t="s">
        <v>118</v>
      </c>
      <c r="B111" s="12" t="s">
        <v>166</v>
      </c>
      <c r="C111" s="11" t="s">
        <v>170</v>
      </c>
      <c r="D111" s="13" t="s">
        <v>7</v>
      </c>
      <c r="E111" s="13" t="s">
        <v>8</v>
      </c>
      <c r="F111" s="12" t="s">
        <v>7</v>
      </c>
      <c r="G111" s="14">
        <v>27.682514190673828</v>
      </c>
      <c r="H111" s="24">
        <v>25.598516464233398</v>
      </c>
      <c r="I111" s="16" t="s">
        <v>189</v>
      </c>
      <c r="J111" s="17">
        <v>15.718560218811035</v>
      </c>
      <c r="K111" s="18" t="s">
        <v>7</v>
      </c>
      <c r="L111" s="19" t="s">
        <v>8</v>
      </c>
      <c r="M111" s="20" t="s">
        <v>10</v>
      </c>
      <c r="N111" s="20" t="s">
        <v>7</v>
      </c>
      <c r="O111" s="20" t="s">
        <v>8</v>
      </c>
      <c r="P111" s="21">
        <f>SUM(Q111:T111)</f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f t="shared" si="1"/>
        <v>4</v>
      </c>
      <c r="V111" s="21">
        <v>1</v>
      </c>
      <c r="W111" s="21">
        <v>1</v>
      </c>
      <c r="X111" s="21">
        <v>1</v>
      </c>
      <c r="Y111" s="21">
        <v>1</v>
      </c>
      <c r="Z111" s="21" t="s">
        <v>299</v>
      </c>
      <c r="AA111" s="21" t="s">
        <v>10</v>
      </c>
    </row>
    <row r="112" spans="1:28" s="22" customFormat="1" x14ac:dyDescent="0.2">
      <c r="A112" s="12" t="s">
        <v>119</v>
      </c>
      <c r="B112" s="12" t="s">
        <v>166</v>
      </c>
      <c r="C112" s="11" t="s">
        <v>170</v>
      </c>
      <c r="D112" s="13" t="s">
        <v>7</v>
      </c>
      <c r="E112" s="13" t="s">
        <v>7</v>
      </c>
      <c r="F112" s="12" t="s">
        <v>8</v>
      </c>
      <c r="G112" s="12">
        <v>0</v>
      </c>
      <c r="H112" s="24">
        <v>15.33978271484375</v>
      </c>
      <c r="I112" s="16" t="s">
        <v>190</v>
      </c>
      <c r="J112" s="17">
        <v>19.620981216430664</v>
      </c>
      <c r="K112" s="18" t="s">
        <v>7</v>
      </c>
      <c r="L112" s="19" t="s">
        <v>7</v>
      </c>
      <c r="M112" s="20" t="s">
        <v>7</v>
      </c>
      <c r="N112" s="20" t="s">
        <v>7</v>
      </c>
      <c r="O112" s="20" t="s">
        <v>7</v>
      </c>
      <c r="P112" s="21">
        <f>SUM(Q112:T112)</f>
        <v>4</v>
      </c>
      <c r="Q112" s="33">
        <v>1</v>
      </c>
      <c r="R112" s="21">
        <v>1</v>
      </c>
      <c r="S112" s="21">
        <v>1</v>
      </c>
      <c r="T112" s="33">
        <v>1</v>
      </c>
      <c r="U112" s="21">
        <f t="shared" si="1"/>
        <v>4</v>
      </c>
      <c r="V112" s="33">
        <v>1</v>
      </c>
      <c r="W112" s="21">
        <v>1</v>
      </c>
      <c r="X112" s="21">
        <v>1</v>
      </c>
      <c r="Y112" s="33">
        <v>1</v>
      </c>
      <c r="Z112" s="33" t="s">
        <v>299</v>
      </c>
      <c r="AA112" s="33" t="s">
        <v>189</v>
      </c>
      <c r="AB112" s="22" t="s">
        <v>196</v>
      </c>
    </row>
    <row r="113" spans="1:28" s="22" customFormat="1" x14ac:dyDescent="0.2">
      <c r="A113" s="12" t="s">
        <v>120</v>
      </c>
      <c r="B113" s="12" t="s">
        <v>166</v>
      </c>
      <c r="C113" s="12" t="s">
        <v>170</v>
      </c>
      <c r="D113" s="13" t="s">
        <v>7</v>
      </c>
      <c r="E113" s="13" t="s">
        <v>8</v>
      </c>
      <c r="F113" s="12" t="s">
        <v>8</v>
      </c>
      <c r="G113" s="14">
        <v>22.066535949707031</v>
      </c>
      <c r="H113" s="15">
        <v>22.862525939941406</v>
      </c>
      <c r="I113" s="16" t="s">
        <v>189</v>
      </c>
      <c r="J113" s="17">
        <v>17.287298202514648</v>
      </c>
      <c r="K113" s="18" t="s">
        <v>8</v>
      </c>
      <c r="L113" s="19" t="s">
        <v>7</v>
      </c>
      <c r="M113" s="20" t="s">
        <v>8</v>
      </c>
      <c r="N113" s="20" t="s">
        <v>7</v>
      </c>
      <c r="O113" s="20" t="s">
        <v>8</v>
      </c>
      <c r="P113" s="21">
        <f>SUM(Q113:T113)</f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f t="shared" si="1"/>
        <v>4</v>
      </c>
      <c r="V113" s="33">
        <v>1</v>
      </c>
      <c r="W113" s="21">
        <v>1</v>
      </c>
      <c r="X113" s="21">
        <v>1</v>
      </c>
      <c r="Y113" s="33">
        <v>1</v>
      </c>
      <c r="Z113" s="33" t="s">
        <v>299</v>
      </c>
      <c r="AA113" s="33" t="s">
        <v>10</v>
      </c>
    </row>
    <row r="114" spans="1:28" s="22" customFormat="1" x14ac:dyDescent="0.2">
      <c r="A114" s="12" t="s">
        <v>121</v>
      </c>
      <c r="B114" s="12" t="s">
        <v>166</v>
      </c>
      <c r="C114" s="12" t="s">
        <v>170</v>
      </c>
      <c r="D114" s="13" t="s">
        <v>7</v>
      </c>
      <c r="E114" s="13" t="s">
        <v>7</v>
      </c>
      <c r="F114" s="12" t="s">
        <v>8</v>
      </c>
      <c r="G114" s="14">
        <v>9.9413785934448207</v>
      </c>
      <c r="H114" s="15">
        <v>14.844401359558105</v>
      </c>
      <c r="I114" s="16" t="s">
        <v>189</v>
      </c>
      <c r="J114" s="17">
        <v>18.285406112670898</v>
      </c>
      <c r="K114" s="18" t="s">
        <v>7</v>
      </c>
      <c r="L114" s="19" t="s">
        <v>7</v>
      </c>
      <c r="M114" s="20" t="s">
        <v>7</v>
      </c>
      <c r="N114" s="20" t="s">
        <v>7</v>
      </c>
      <c r="O114" s="20" t="s">
        <v>7</v>
      </c>
      <c r="P114" s="21">
        <f>SUM(Q114:T114)</f>
        <v>4</v>
      </c>
      <c r="Q114" s="33">
        <v>1</v>
      </c>
      <c r="R114" s="21">
        <v>1</v>
      </c>
      <c r="S114" s="21">
        <v>1</v>
      </c>
      <c r="T114" s="33">
        <v>1</v>
      </c>
      <c r="U114" s="21">
        <f t="shared" si="1"/>
        <v>4</v>
      </c>
      <c r="V114" s="33">
        <v>1</v>
      </c>
      <c r="W114" s="21">
        <v>1</v>
      </c>
      <c r="X114" s="21">
        <v>1</v>
      </c>
      <c r="Y114" s="33">
        <v>1</v>
      </c>
      <c r="Z114" s="33" t="s">
        <v>299</v>
      </c>
      <c r="AA114" s="33" t="s">
        <v>189</v>
      </c>
      <c r="AB114" s="22" t="s">
        <v>275</v>
      </c>
    </row>
    <row r="115" spans="1:28" s="22" customFormat="1" x14ac:dyDescent="0.2">
      <c r="A115" s="12" t="s">
        <v>122</v>
      </c>
      <c r="B115" s="12" t="s">
        <v>166</v>
      </c>
      <c r="C115" s="12" t="s">
        <v>170</v>
      </c>
      <c r="D115" s="13" t="s">
        <v>8</v>
      </c>
      <c r="E115" s="13" t="s">
        <v>10</v>
      </c>
      <c r="F115" s="12" t="s">
        <v>7</v>
      </c>
      <c r="G115" s="14">
        <v>26.317890167236328</v>
      </c>
      <c r="H115" s="15">
        <v>32.261772155761719</v>
      </c>
      <c r="I115" s="16" t="s">
        <v>189</v>
      </c>
      <c r="J115" s="17">
        <v>17.618524551391602</v>
      </c>
      <c r="K115" s="18" t="s">
        <v>7</v>
      </c>
      <c r="L115" s="19" t="s">
        <v>8</v>
      </c>
      <c r="M115" s="20" t="s">
        <v>10</v>
      </c>
      <c r="N115" s="20" t="s">
        <v>8</v>
      </c>
      <c r="O115" s="20" t="s">
        <v>10</v>
      </c>
      <c r="P115" s="21">
        <f>SUM(Q115:T115)</f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f t="shared" si="1"/>
        <v>0</v>
      </c>
      <c r="V115" s="21">
        <v>0</v>
      </c>
      <c r="W115" s="21">
        <v>0</v>
      </c>
      <c r="X115" s="21">
        <v>0</v>
      </c>
      <c r="Y115" s="21">
        <v>0</v>
      </c>
      <c r="Z115" s="21" t="s">
        <v>10</v>
      </c>
      <c r="AA115" s="21" t="s">
        <v>10</v>
      </c>
    </row>
    <row r="116" spans="1:28" s="22" customFormat="1" x14ac:dyDescent="0.2">
      <c r="A116" s="12" t="s">
        <v>123</v>
      </c>
      <c r="B116" s="12" t="s">
        <v>166</v>
      </c>
      <c r="C116" s="12" t="s">
        <v>170</v>
      </c>
      <c r="D116" s="13" t="s">
        <v>7</v>
      </c>
      <c r="E116" s="13" t="s">
        <v>7</v>
      </c>
      <c r="F116" s="12" t="s">
        <v>8</v>
      </c>
      <c r="G116" s="14">
        <v>30.207603454589844</v>
      </c>
      <c r="H116" s="15">
        <v>20.009189605712891</v>
      </c>
      <c r="I116" s="16" t="s">
        <v>190</v>
      </c>
      <c r="J116" s="17">
        <v>18.955171585083008</v>
      </c>
      <c r="K116" s="18" t="s">
        <v>7</v>
      </c>
      <c r="L116" s="19" t="s">
        <v>8</v>
      </c>
      <c r="M116" s="20" t="s">
        <v>10</v>
      </c>
      <c r="N116" s="20" t="s">
        <v>7</v>
      </c>
      <c r="O116" s="20" t="s">
        <v>7</v>
      </c>
      <c r="P116" s="21">
        <f>SUM(Q116:T116)</f>
        <v>3</v>
      </c>
      <c r="Q116" s="33">
        <v>1</v>
      </c>
      <c r="R116" s="21">
        <v>1</v>
      </c>
      <c r="S116" s="21">
        <v>1</v>
      </c>
      <c r="T116" s="21">
        <v>0</v>
      </c>
      <c r="U116" s="21">
        <f t="shared" si="1"/>
        <v>3</v>
      </c>
      <c r="V116" s="33">
        <v>1</v>
      </c>
      <c r="W116" s="21">
        <v>1</v>
      </c>
      <c r="X116" s="21">
        <v>1</v>
      </c>
      <c r="Y116" s="21">
        <v>0</v>
      </c>
      <c r="Z116" s="21" t="s">
        <v>299</v>
      </c>
      <c r="AA116" s="21" t="s">
        <v>190</v>
      </c>
      <c r="AB116" s="22" t="s">
        <v>274</v>
      </c>
    </row>
    <row r="117" spans="1:28" s="22" customFormat="1" x14ac:dyDescent="0.2">
      <c r="A117" s="12" t="s">
        <v>124</v>
      </c>
      <c r="B117" s="12" t="s">
        <v>166</v>
      </c>
      <c r="C117" s="12" t="s">
        <v>170</v>
      </c>
      <c r="D117" s="13" t="s">
        <v>7</v>
      </c>
      <c r="E117" s="13" t="s">
        <v>7</v>
      </c>
      <c r="F117" s="12" t="s">
        <v>8</v>
      </c>
      <c r="G117" s="14">
        <v>31.941169738769531</v>
      </c>
      <c r="H117" s="15">
        <v>22.721366882324219</v>
      </c>
      <c r="I117" s="16" t="s">
        <v>190</v>
      </c>
      <c r="J117" s="17">
        <v>17.033742904663086</v>
      </c>
      <c r="K117" s="18" t="s">
        <v>7</v>
      </c>
      <c r="L117" s="19" t="s">
        <v>8</v>
      </c>
      <c r="M117" s="20" t="s">
        <v>10</v>
      </c>
      <c r="N117" s="20" t="s">
        <v>7</v>
      </c>
      <c r="O117" s="20" t="s">
        <v>7</v>
      </c>
      <c r="P117" s="21">
        <f>SUM(Q117:T117)</f>
        <v>3</v>
      </c>
      <c r="Q117" s="33">
        <v>1</v>
      </c>
      <c r="R117" s="21">
        <v>1</v>
      </c>
      <c r="S117" s="21">
        <v>1</v>
      </c>
      <c r="T117" s="21">
        <v>0</v>
      </c>
      <c r="U117" s="21">
        <f t="shared" si="1"/>
        <v>3</v>
      </c>
      <c r="V117" s="33">
        <v>1</v>
      </c>
      <c r="W117" s="21">
        <v>1</v>
      </c>
      <c r="X117" s="21">
        <v>1</v>
      </c>
      <c r="Y117" s="21">
        <v>0</v>
      </c>
      <c r="Z117" s="21" t="s">
        <v>299</v>
      </c>
      <c r="AA117" s="21" t="s">
        <v>190</v>
      </c>
      <c r="AB117" s="22" t="s">
        <v>273</v>
      </c>
    </row>
    <row r="118" spans="1:28" s="22" customFormat="1" x14ac:dyDescent="0.2">
      <c r="A118" s="12" t="s">
        <v>125</v>
      </c>
      <c r="B118" s="12" t="s">
        <v>166</v>
      </c>
      <c r="C118" s="12" t="s">
        <v>170</v>
      </c>
      <c r="D118" s="13" t="s">
        <v>7</v>
      </c>
      <c r="E118" s="12" t="s">
        <v>8</v>
      </c>
      <c r="F118" s="12" t="s">
        <v>7</v>
      </c>
      <c r="G118" s="14">
        <v>24.367731094360352</v>
      </c>
      <c r="H118" s="15">
        <v>27.884449005126953</v>
      </c>
      <c r="I118" s="16" t="s">
        <v>189</v>
      </c>
      <c r="J118" s="17">
        <v>17.516778945922852</v>
      </c>
      <c r="K118" s="18" t="s">
        <v>7</v>
      </c>
      <c r="L118" s="19" t="s">
        <v>8</v>
      </c>
      <c r="M118" s="20" t="s">
        <v>10</v>
      </c>
      <c r="N118" s="20" t="s">
        <v>7</v>
      </c>
      <c r="O118" s="20" t="s">
        <v>8</v>
      </c>
      <c r="P118" s="21">
        <f>SUM(Q118:T118)</f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f t="shared" si="1"/>
        <v>2</v>
      </c>
      <c r="V118" s="21">
        <v>0</v>
      </c>
      <c r="W118" s="21">
        <v>1</v>
      </c>
      <c r="X118" s="21">
        <v>1</v>
      </c>
      <c r="Y118" s="21">
        <v>0</v>
      </c>
      <c r="Z118" s="21" t="s">
        <v>299</v>
      </c>
      <c r="AA118" s="21" t="s">
        <v>10</v>
      </c>
    </row>
    <row r="119" spans="1:28" s="22" customFormat="1" x14ac:dyDescent="0.2">
      <c r="A119" s="12" t="s">
        <v>126</v>
      </c>
      <c r="B119" s="12" t="s">
        <v>166</v>
      </c>
      <c r="C119" s="12" t="s">
        <v>170</v>
      </c>
      <c r="D119" s="13" t="s">
        <v>8</v>
      </c>
      <c r="E119" s="13" t="s">
        <v>10</v>
      </c>
      <c r="F119" s="12" t="s">
        <v>7</v>
      </c>
      <c r="G119" s="14">
        <v>22.338651657104492</v>
      </c>
      <c r="H119" s="15">
        <v>31.794710159301758</v>
      </c>
      <c r="I119" s="16" t="s">
        <v>189</v>
      </c>
      <c r="J119" s="17">
        <v>18.039304733276367</v>
      </c>
      <c r="K119" s="18" t="s">
        <v>8</v>
      </c>
      <c r="L119" s="19" t="s">
        <v>8</v>
      </c>
      <c r="M119" s="20" t="s">
        <v>10</v>
      </c>
      <c r="N119" s="20" t="s">
        <v>8</v>
      </c>
      <c r="O119" s="20" t="s">
        <v>10</v>
      </c>
      <c r="P119" s="21">
        <f>SUM(Q119:T119)</f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f t="shared" si="1"/>
        <v>0</v>
      </c>
      <c r="V119" s="21">
        <v>0</v>
      </c>
      <c r="W119" s="21">
        <v>0</v>
      </c>
      <c r="X119" s="21">
        <v>0</v>
      </c>
      <c r="Y119" s="21">
        <v>0</v>
      </c>
      <c r="Z119" s="21" t="s">
        <v>10</v>
      </c>
      <c r="AA119" s="21" t="s">
        <v>10</v>
      </c>
    </row>
    <row r="120" spans="1:28" s="22" customFormat="1" x14ac:dyDescent="0.2">
      <c r="A120" s="11" t="s">
        <v>127</v>
      </c>
      <c r="B120" s="11" t="s">
        <v>168</v>
      </c>
      <c r="C120" s="11" t="s">
        <v>172</v>
      </c>
      <c r="D120" s="13" t="s">
        <v>8</v>
      </c>
      <c r="E120" s="13" t="s">
        <v>10</v>
      </c>
      <c r="F120" s="12" t="s">
        <v>7</v>
      </c>
      <c r="G120" s="14">
        <v>25.406068801879883</v>
      </c>
      <c r="H120" s="15">
        <v>26.80613899230957</v>
      </c>
      <c r="I120" s="16" t="s">
        <v>189</v>
      </c>
      <c r="J120" s="17">
        <v>30.481897354125977</v>
      </c>
      <c r="K120" s="18" t="s">
        <v>7</v>
      </c>
      <c r="L120" s="19" t="s">
        <v>8</v>
      </c>
      <c r="M120" s="20" t="s">
        <v>10</v>
      </c>
      <c r="N120" s="20" t="s">
        <v>8</v>
      </c>
      <c r="O120" s="20" t="s">
        <v>10</v>
      </c>
      <c r="P120" s="21">
        <f>SUM(Q120:T120)</f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f t="shared" si="1"/>
        <v>0</v>
      </c>
      <c r="V120" s="21">
        <v>0</v>
      </c>
      <c r="W120" s="21">
        <v>0</v>
      </c>
      <c r="X120" s="21">
        <v>0</v>
      </c>
      <c r="Y120" s="21">
        <v>0</v>
      </c>
      <c r="Z120" s="21" t="s">
        <v>10</v>
      </c>
      <c r="AA120" s="21" t="s">
        <v>10</v>
      </c>
    </row>
    <row r="121" spans="1:28" s="22" customFormat="1" x14ac:dyDescent="0.2">
      <c r="A121" s="11" t="s">
        <v>128</v>
      </c>
      <c r="B121" s="11" t="s">
        <v>168</v>
      </c>
      <c r="C121" s="11" t="s">
        <v>172</v>
      </c>
      <c r="D121" s="13" t="s">
        <v>8</v>
      </c>
      <c r="E121" s="13" t="s">
        <v>10</v>
      </c>
      <c r="F121" s="12" t="s">
        <v>7</v>
      </c>
      <c r="G121" s="14">
        <v>32.057727813720703</v>
      </c>
      <c r="H121" s="15">
        <v>22.160100936889648</v>
      </c>
      <c r="I121" s="16" t="s">
        <v>190</v>
      </c>
      <c r="J121" s="17">
        <v>32.056205749511719</v>
      </c>
      <c r="K121" s="18" t="s">
        <v>7</v>
      </c>
      <c r="L121" s="19" t="s">
        <v>8</v>
      </c>
      <c r="M121" s="20" t="s">
        <v>10</v>
      </c>
      <c r="N121" s="20" t="s">
        <v>8</v>
      </c>
      <c r="O121" s="20" t="s">
        <v>10</v>
      </c>
      <c r="P121" s="21">
        <f>SUM(Q121:T121)</f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f t="shared" si="1"/>
        <v>0</v>
      </c>
      <c r="V121" s="21">
        <v>0</v>
      </c>
      <c r="W121" s="21">
        <v>0</v>
      </c>
      <c r="X121" s="21">
        <v>0</v>
      </c>
      <c r="Y121" s="21">
        <v>0</v>
      </c>
      <c r="Z121" s="21" t="s">
        <v>10</v>
      </c>
      <c r="AA121" s="21" t="s">
        <v>10</v>
      </c>
    </row>
    <row r="122" spans="1:28" s="22" customFormat="1" x14ac:dyDescent="0.2">
      <c r="A122" s="11" t="s">
        <v>129</v>
      </c>
      <c r="B122" s="11" t="s">
        <v>168</v>
      </c>
      <c r="C122" s="11" t="s">
        <v>170</v>
      </c>
      <c r="D122" s="13" t="s">
        <v>7</v>
      </c>
      <c r="E122" s="13" t="s">
        <v>7</v>
      </c>
      <c r="F122" s="12" t="s">
        <v>8</v>
      </c>
      <c r="G122" s="14">
        <v>18.458244323730469</v>
      </c>
      <c r="H122" s="15">
        <v>16.700277328491211</v>
      </c>
      <c r="I122" s="16" t="s">
        <v>189</v>
      </c>
      <c r="J122" s="17">
        <v>20.017915725708008</v>
      </c>
      <c r="K122" s="18" t="s">
        <v>7</v>
      </c>
      <c r="L122" s="19" t="s">
        <v>7</v>
      </c>
      <c r="M122" s="20" t="s">
        <v>7</v>
      </c>
      <c r="N122" s="20" t="s">
        <v>7</v>
      </c>
      <c r="O122" s="20" t="s">
        <v>7</v>
      </c>
      <c r="P122" s="21">
        <f>SUM(Q122:T122)</f>
        <v>4</v>
      </c>
      <c r="Q122" s="33">
        <v>1</v>
      </c>
      <c r="R122" s="21">
        <v>1</v>
      </c>
      <c r="S122" s="21">
        <v>1</v>
      </c>
      <c r="T122" s="33">
        <v>1</v>
      </c>
      <c r="U122" s="21">
        <f t="shared" si="1"/>
        <v>4</v>
      </c>
      <c r="V122" s="33">
        <v>1</v>
      </c>
      <c r="W122" s="21">
        <v>1</v>
      </c>
      <c r="X122" s="21">
        <v>1</v>
      </c>
      <c r="Y122" s="33">
        <v>1</v>
      </c>
      <c r="Z122" s="33" t="s">
        <v>299</v>
      </c>
      <c r="AA122" s="33" t="s">
        <v>189</v>
      </c>
      <c r="AB122" s="22" t="s">
        <v>276</v>
      </c>
    </row>
    <row r="123" spans="1:28" s="22" customFormat="1" x14ac:dyDescent="0.2">
      <c r="A123" s="11" t="s">
        <v>130</v>
      </c>
      <c r="B123" s="11" t="s">
        <v>168</v>
      </c>
      <c r="C123" s="11" t="s">
        <v>172</v>
      </c>
      <c r="D123" s="13" t="s">
        <v>8</v>
      </c>
      <c r="E123" s="13" t="s">
        <v>10</v>
      </c>
      <c r="F123" s="12" t="s">
        <v>7</v>
      </c>
      <c r="G123" s="12">
        <v>0</v>
      </c>
      <c r="H123" s="15">
        <v>31.742557525634766</v>
      </c>
      <c r="I123" s="16" t="s">
        <v>190</v>
      </c>
      <c r="J123" s="41">
        <v>0</v>
      </c>
      <c r="K123" s="18" t="s">
        <v>7</v>
      </c>
      <c r="L123" s="19" t="s">
        <v>8</v>
      </c>
      <c r="M123" s="20" t="s">
        <v>10</v>
      </c>
      <c r="N123" s="20" t="s">
        <v>8</v>
      </c>
      <c r="O123" s="20" t="s">
        <v>10</v>
      </c>
      <c r="P123" s="21">
        <f>SUM(Q123:T123)</f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f t="shared" si="1"/>
        <v>2</v>
      </c>
      <c r="V123" s="21">
        <v>0</v>
      </c>
      <c r="W123" s="21">
        <v>1</v>
      </c>
      <c r="X123" s="21">
        <v>1</v>
      </c>
      <c r="Y123" s="21">
        <v>0</v>
      </c>
      <c r="Z123" s="21" t="s">
        <v>299</v>
      </c>
      <c r="AA123" s="21" t="s">
        <v>10</v>
      </c>
    </row>
    <row r="124" spans="1:28" s="22" customFormat="1" x14ac:dyDescent="0.2">
      <c r="A124" s="11" t="s">
        <v>131</v>
      </c>
      <c r="B124" s="11" t="s">
        <v>168</v>
      </c>
      <c r="C124" s="11" t="s">
        <v>170</v>
      </c>
      <c r="D124" s="13" t="s">
        <v>8</v>
      </c>
      <c r="E124" s="13" t="s">
        <v>10</v>
      </c>
      <c r="F124" s="12" t="s">
        <v>7</v>
      </c>
      <c r="G124" s="14">
        <v>31.569723129272461</v>
      </c>
      <c r="H124" s="15">
        <v>23.953281402587891</v>
      </c>
      <c r="I124" s="16" t="s">
        <v>190</v>
      </c>
      <c r="J124" s="17">
        <v>22.379816055297852</v>
      </c>
      <c r="K124" s="18" t="s">
        <v>7</v>
      </c>
      <c r="L124" s="19" t="s">
        <v>8</v>
      </c>
      <c r="M124" s="20" t="s">
        <v>10</v>
      </c>
      <c r="N124" s="20" t="s">
        <v>8</v>
      </c>
      <c r="O124" s="20" t="s">
        <v>10</v>
      </c>
      <c r="P124" s="21">
        <f>SUM(Q124:T124)</f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f t="shared" si="1"/>
        <v>1</v>
      </c>
      <c r="V124" s="21">
        <v>0</v>
      </c>
      <c r="W124" s="21">
        <v>0</v>
      </c>
      <c r="X124" s="21">
        <v>1</v>
      </c>
      <c r="Y124" s="21">
        <v>0</v>
      </c>
      <c r="Z124" s="21" t="s">
        <v>299</v>
      </c>
      <c r="AA124" s="21" t="s">
        <v>10</v>
      </c>
    </row>
    <row r="125" spans="1:28" s="22" customFormat="1" x14ac:dyDescent="0.2">
      <c r="A125" s="11" t="s">
        <v>132</v>
      </c>
      <c r="B125" s="11" t="s">
        <v>168</v>
      </c>
      <c r="C125" s="11" t="s">
        <v>172</v>
      </c>
      <c r="D125" s="12" t="s">
        <v>8</v>
      </c>
      <c r="E125" s="13" t="s">
        <v>10</v>
      </c>
      <c r="F125" s="12" t="s">
        <v>7</v>
      </c>
      <c r="G125" s="23">
        <v>27.274999999999999</v>
      </c>
      <c r="H125" s="15">
        <v>27.722261428833001</v>
      </c>
      <c r="I125" s="16" t="s">
        <v>189</v>
      </c>
      <c r="J125" s="17">
        <v>28.995336532592773</v>
      </c>
      <c r="K125" s="18" t="s">
        <v>7</v>
      </c>
      <c r="L125" s="19" t="s">
        <v>8</v>
      </c>
      <c r="M125" s="20" t="s">
        <v>10</v>
      </c>
      <c r="N125" s="20" t="s">
        <v>8</v>
      </c>
      <c r="O125" s="20" t="s">
        <v>10</v>
      </c>
      <c r="P125" s="21">
        <f>SUM(Q125:T125)</f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f t="shared" si="1"/>
        <v>0</v>
      </c>
      <c r="V125" s="21">
        <v>0</v>
      </c>
      <c r="W125" s="21">
        <v>0</v>
      </c>
      <c r="X125" s="21">
        <v>0</v>
      </c>
      <c r="Y125" s="21">
        <v>0</v>
      </c>
      <c r="Z125" s="21" t="s">
        <v>10</v>
      </c>
      <c r="AA125" s="21" t="s">
        <v>10</v>
      </c>
    </row>
    <row r="126" spans="1:28" s="22" customFormat="1" x14ac:dyDescent="0.2">
      <c r="A126" s="11" t="s">
        <v>133</v>
      </c>
      <c r="B126" s="11" t="s">
        <v>168</v>
      </c>
      <c r="C126" s="11" t="s">
        <v>172</v>
      </c>
      <c r="D126" s="12" t="s">
        <v>8</v>
      </c>
      <c r="E126" s="13" t="s">
        <v>10</v>
      </c>
      <c r="F126" s="12" t="s">
        <v>7</v>
      </c>
      <c r="G126" s="14">
        <v>30.797954559326172</v>
      </c>
      <c r="H126" s="15">
        <v>22.155973434448242</v>
      </c>
      <c r="I126" s="16" t="s">
        <v>190</v>
      </c>
      <c r="J126" s="17">
        <v>29.540458679199219</v>
      </c>
      <c r="K126" s="18" t="s">
        <v>7</v>
      </c>
      <c r="L126" s="19" t="s">
        <v>8</v>
      </c>
      <c r="M126" s="20" t="s">
        <v>10</v>
      </c>
      <c r="N126" s="20" t="s">
        <v>8</v>
      </c>
      <c r="O126" s="20" t="s">
        <v>10</v>
      </c>
      <c r="P126" s="21">
        <f>SUM(Q126:T126)</f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f t="shared" si="1"/>
        <v>0</v>
      </c>
      <c r="V126" s="21">
        <v>0</v>
      </c>
      <c r="W126" s="21">
        <v>0</v>
      </c>
      <c r="X126" s="21">
        <v>0</v>
      </c>
      <c r="Y126" s="21">
        <v>0</v>
      </c>
      <c r="Z126" s="21" t="s">
        <v>10</v>
      </c>
      <c r="AA126" s="21" t="s">
        <v>10</v>
      </c>
    </row>
    <row r="127" spans="1:28" s="22" customFormat="1" x14ac:dyDescent="0.2">
      <c r="A127" s="11" t="s">
        <v>134</v>
      </c>
      <c r="B127" s="11" t="s">
        <v>168</v>
      </c>
      <c r="C127" s="11" t="s">
        <v>172</v>
      </c>
      <c r="D127" s="12" t="s">
        <v>8</v>
      </c>
      <c r="E127" s="13" t="s">
        <v>10</v>
      </c>
      <c r="F127" s="12" t="s">
        <v>7</v>
      </c>
      <c r="G127" s="14">
        <v>27.416172027587891</v>
      </c>
      <c r="H127" s="15">
        <v>25.469623565673828</v>
      </c>
      <c r="I127" s="16" t="s">
        <v>189</v>
      </c>
      <c r="J127" s="17">
        <v>30.495050430297852</v>
      </c>
      <c r="K127" s="18" t="s">
        <v>7</v>
      </c>
      <c r="L127" s="19" t="s">
        <v>8</v>
      </c>
      <c r="M127" s="20" t="s">
        <v>10</v>
      </c>
      <c r="N127" s="20" t="s">
        <v>8</v>
      </c>
      <c r="O127" s="20" t="s">
        <v>10</v>
      </c>
      <c r="P127" s="21">
        <f>SUM(Q127:T127)</f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f t="shared" si="1"/>
        <v>1</v>
      </c>
      <c r="V127" s="21">
        <v>0</v>
      </c>
      <c r="W127" s="21">
        <v>0</v>
      </c>
      <c r="X127" s="21">
        <v>0</v>
      </c>
      <c r="Y127" s="21">
        <v>1</v>
      </c>
      <c r="Z127" s="21" t="s">
        <v>299</v>
      </c>
      <c r="AA127" s="21" t="s">
        <v>10</v>
      </c>
    </row>
    <row r="128" spans="1:28" s="22" customFormat="1" x14ac:dyDescent="0.2">
      <c r="A128" s="12" t="s">
        <v>135</v>
      </c>
      <c r="B128" s="12" t="s">
        <v>166</v>
      </c>
      <c r="C128" s="11" t="s">
        <v>170</v>
      </c>
      <c r="D128" s="12" t="s">
        <v>7</v>
      </c>
      <c r="E128" s="12" t="s">
        <v>8</v>
      </c>
      <c r="F128" s="12" t="s">
        <v>7</v>
      </c>
      <c r="G128" s="12">
        <v>0</v>
      </c>
      <c r="H128" s="15">
        <v>25.904689788818359</v>
      </c>
      <c r="I128" s="16" t="s">
        <v>190</v>
      </c>
      <c r="J128" s="17">
        <v>16.991941452026367</v>
      </c>
      <c r="K128" s="18" t="s">
        <v>7</v>
      </c>
      <c r="L128" s="19" t="s">
        <v>8</v>
      </c>
      <c r="M128" s="20" t="s">
        <v>10</v>
      </c>
      <c r="N128" s="20" t="s">
        <v>7</v>
      </c>
      <c r="O128" s="20" t="s">
        <v>8</v>
      </c>
      <c r="P128" s="21">
        <f>SUM(Q128:T128)</f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f t="shared" si="1"/>
        <v>1</v>
      </c>
      <c r="V128" s="21">
        <v>0</v>
      </c>
      <c r="W128" s="21">
        <v>1</v>
      </c>
      <c r="X128" s="21">
        <v>0</v>
      </c>
      <c r="Y128" s="21">
        <v>0</v>
      </c>
      <c r="Z128" s="21" t="s">
        <v>299</v>
      </c>
      <c r="AA128" s="21" t="s">
        <v>10</v>
      </c>
    </row>
    <row r="129" spans="1:28" s="22" customFormat="1" x14ac:dyDescent="0.2">
      <c r="A129" s="12" t="s">
        <v>136</v>
      </c>
      <c r="B129" s="12" t="s">
        <v>166</v>
      </c>
      <c r="C129" s="11" t="s">
        <v>170</v>
      </c>
      <c r="D129" s="13" t="s">
        <v>7</v>
      </c>
      <c r="E129" s="13" t="s">
        <v>7</v>
      </c>
      <c r="F129" s="12" t="s">
        <v>8</v>
      </c>
      <c r="G129" s="14">
        <v>13.980960845947266</v>
      </c>
      <c r="H129" s="15">
        <v>13.240074157714844</v>
      </c>
      <c r="I129" s="16" t="s">
        <v>189</v>
      </c>
      <c r="J129" s="17">
        <v>16.740236282348633</v>
      </c>
      <c r="K129" s="18" t="s">
        <v>7</v>
      </c>
      <c r="L129" s="19" t="s">
        <v>8</v>
      </c>
      <c r="M129" s="20" t="s">
        <v>10</v>
      </c>
      <c r="N129" s="20" t="s">
        <v>7</v>
      </c>
      <c r="O129" s="20" t="s">
        <v>7</v>
      </c>
      <c r="P129" s="21">
        <f>SUM(Q129:T129)</f>
        <v>3</v>
      </c>
      <c r="Q129" s="33">
        <v>1</v>
      </c>
      <c r="R129" s="21">
        <v>1</v>
      </c>
      <c r="S129" s="21">
        <v>1</v>
      </c>
      <c r="T129" s="21">
        <v>0</v>
      </c>
      <c r="U129" s="21">
        <f t="shared" si="1"/>
        <v>3</v>
      </c>
      <c r="V129" s="33">
        <v>1</v>
      </c>
      <c r="W129" s="21">
        <v>1</v>
      </c>
      <c r="X129" s="21">
        <v>1</v>
      </c>
      <c r="Y129" s="21">
        <v>0</v>
      </c>
      <c r="Z129" s="21" t="s">
        <v>299</v>
      </c>
      <c r="AA129" s="21" t="s">
        <v>189</v>
      </c>
      <c r="AB129" s="22" t="s">
        <v>279</v>
      </c>
    </row>
    <row r="130" spans="1:28" s="22" customFormat="1" x14ac:dyDescent="0.2">
      <c r="A130" s="12" t="s">
        <v>137</v>
      </c>
      <c r="B130" s="12" t="s">
        <v>166</v>
      </c>
      <c r="C130" s="11" t="s">
        <v>170</v>
      </c>
      <c r="D130" s="12" t="s">
        <v>8</v>
      </c>
      <c r="E130" s="13" t="s">
        <v>10</v>
      </c>
      <c r="F130" s="12" t="s">
        <v>7</v>
      </c>
      <c r="G130" s="14">
        <v>28.903675079345703</v>
      </c>
      <c r="H130" s="15">
        <v>28.92967414855957</v>
      </c>
      <c r="I130" s="16" t="s">
        <v>189</v>
      </c>
      <c r="J130" s="17">
        <v>16.916828155517578</v>
      </c>
      <c r="K130" s="18" t="s">
        <v>7</v>
      </c>
      <c r="L130" s="19" t="s">
        <v>8</v>
      </c>
      <c r="M130" s="20" t="s">
        <v>10</v>
      </c>
      <c r="N130" s="20" t="s">
        <v>8</v>
      </c>
      <c r="O130" s="20" t="s">
        <v>10</v>
      </c>
      <c r="P130" s="21">
        <f>SUM(Q130:T130)</f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f t="shared" si="1"/>
        <v>1</v>
      </c>
      <c r="V130" s="21">
        <v>0</v>
      </c>
      <c r="W130" s="21">
        <v>1</v>
      </c>
      <c r="X130" s="21">
        <v>0</v>
      </c>
      <c r="Y130" s="21">
        <v>0</v>
      </c>
      <c r="Z130" s="21" t="s">
        <v>299</v>
      </c>
      <c r="AA130" s="21" t="s">
        <v>10</v>
      </c>
    </row>
    <row r="131" spans="1:28" s="22" customFormat="1" x14ac:dyDescent="0.2">
      <c r="A131" s="12" t="s">
        <v>138</v>
      </c>
      <c r="B131" s="12" t="s">
        <v>166</v>
      </c>
      <c r="C131" s="11" t="s">
        <v>170</v>
      </c>
      <c r="D131" s="12" t="s">
        <v>8</v>
      </c>
      <c r="E131" s="13" t="s">
        <v>10</v>
      </c>
      <c r="F131" s="12" t="s">
        <v>7</v>
      </c>
      <c r="G131" s="14">
        <v>24.538702011108398</v>
      </c>
      <c r="H131" s="42">
        <v>0</v>
      </c>
      <c r="I131" s="43" t="s">
        <v>189</v>
      </c>
      <c r="J131" s="17">
        <v>17.458293914794922</v>
      </c>
      <c r="K131" s="18" t="s">
        <v>7</v>
      </c>
      <c r="L131" s="19" t="s">
        <v>8</v>
      </c>
      <c r="M131" s="20" t="s">
        <v>10</v>
      </c>
      <c r="N131" s="20" t="s">
        <v>8</v>
      </c>
      <c r="O131" s="20" t="s">
        <v>10</v>
      </c>
      <c r="P131" s="21">
        <f>SUM(Q131:T131)</f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f t="shared" ref="U131:U156" si="2">SUM(V131:Y131)</f>
        <v>1</v>
      </c>
      <c r="V131" s="21">
        <v>0</v>
      </c>
      <c r="W131" s="21">
        <v>0</v>
      </c>
      <c r="X131" s="21">
        <v>1</v>
      </c>
      <c r="Y131" s="21">
        <v>0</v>
      </c>
      <c r="Z131" s="21" t="s">
        <v>299</v>
      </c>
      <c r="AA131" s="21" t="s">
        <v>10</v>
      </c>
    </row>
    <row r="132" spans="1:28" s="22" customFormat="1" x14ac:dyDescent="0.2">
      <c r="A132" s="12" t="s">
        <v>139</v>
      </c>
      <c r="B132" s="12" t="s">
        <v>166</v>
      </c>
      <c r="C132" s="11" t="s">
        <v>170</v>
      </c>
      <c r="D132" s="13" t="s">
        <v>7</v>
      </c>
      <c r="E132" s="13" t="s">
        <v>7</v>
      </c>
      <c r="F132" s="12" t="s">
        <v>8</v>
      </c>
      <c r="G132" s="14">
        <v>29.668727874755859</v>
      </c>
      <c r="H132" s="15">
        <v>28.319025039672852</v>
      </c>
      <c r="I132" s="16" t="s">
        <v>189</v>
      </c>
      <c r="J132" s="17">
        <v>20.980093002319336</v>
      </c>
      <c r="K132" s="18" t="s">
        <v>7</v>
      </c>
      <c r="L132" s="19" t="s">
        <v>7</v>
      </c>
      <c r="M132" s="20" t="s">
        <v>7</v>
      </c>
      <c r="N132" s="20" t="s">
        <v>7</v>
      </c>
      <c r="O132" s="20" t="s">
        <v>7</v>
      </c>
      <c r="P132" s="21">
        <f>SUM(Q132:T132)</f>
        <v>5</v>
      </c>
      <c r="Q132" s="33">
        <v>1</v>
      </c>
      <c r="R132" s="21">
        <v>1</v>
      </c>
      <c r="S132" s="21">
        <v>2</v>
      </c>
      <c r="T132" s="33">
        <v>1</v>
      </c>
      <c r="U132" s="21">
        <f t="shared" si="2"/>
        <v>5</v>
      </c>
      <c r="V132" s="33">
        <v>1</v>
      </c>
      <c r="W132" s="21">
        <v>1</v>
      </c>
      <c r="X132" s="21">
        <v>2</v>
      </c>
      <c r="Y132" s="33">
        <v>1</v>
      </c>
      <c r="Z132" s="33" t="s">
        <v>298</v>
      </c>
      <c r="AA132" s="33" t="s">
        <v>189</v>
      </c>
      <c r="AB132" s="22" t="s">
        <v>280</v>
      </c>
    </row>
    <row r="133" spans="1:28" s="22" customFormat="1" x14ac:dyDescent="0.2">
      <c r="A133" s="12" t="s">
        <v>140</v>
      </c>
      <c r="B133" s="12" t="s">
        <v>166</v>
      </c>
      <c r="C133" s="11" t="s">
        <v>170</v>
      </c>
      <c r="D133" s="12" t="s">
        <v>7</v>
      </c>
      <c r="E133" s="12" t="s">
        <v>8</v>
      </c>
      <c r="F133" s="12" t="s">
        <v>8</v>
      </c>
      <c r="G133" s="14">
        <v>24.667085647583008</v>
      </c>
      <c r="H133" s="15">
        <v>19.980537414550781</v>
      </c>
      <c r="I133" s="16" t="s">
        <v>189</v>
      </c>
      <c r="J133" s="17">
        <v>16.17315673828125</v>
      </c>
      <c r="K133" s="18" t="s">
        <v>8</v>
      </c>
      <c r="L133" s="19" t="s">
        <v>7</v>
      </c>
      <c r="M133" s="20" t="s">
        <v>8</v>
      </c>
      <c r="N133" s="20" t="s">
        <v>7</v>
      </c>
      <c r="O133" s="20" t="s">
        <v>8</v>
      </c>
      <c r="P133" s="21">
        <f>SUM(Q133:T133)</f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f t="shared" si="2"/>
        <v>4</v>
      </c>
      <c r="V133" s="33">
        <v>1</v>
      </c>
      <c r="W133" s="21">
        <v>1</v>
      </c>
      <c r="X133" s="21">
        <v>1</v>
      </c>
      <c r="Y133" s="33">
        <v>1</v>
      </c>
      <c r="Z133" s="33" t="s">
        <v>299</v>
      </c>
      <c r="AA133" s="33" t="s">
        <v>10</v>
      </c>
    </row>
    <row r="134" spans="1:28" s="22" customFormat="1" x14ac:dyDescent="0.2">
      <c r="A134" s="12" t="s">
        <v>141</v>
      </c>
      <c r="B134" s="12" t="s">
        <v>166</v>
      </c>
      <c r="C134" s="11" t="s">
        <v>170</v>
      </c>
      <c r="D134" s="12" t="s">
        <v>7</v>
      </c>
      <c r="E134" s="12" t="s">
        <v>8</v>
      </c>
      <c r="F134" s="12" t="s">
        <v>8</v>
      </c>
      <c r="G134" s="14">
        <v>22.528242111206055</v>
      </c>
      <c r="H134" s="15">
        <v>22.01032829284668</v>
      </c>
      <c r="I134" s="16" t="s">
        <v>189</v>
      </c>
      <c r="J134" s="17">
        <v>15.875644683837891</v>
      </c>
      <c r="K134" s="18" t="s">
        <v>8</v>
      </c>
      <c r="L134" s="19" t="s">
        <v>8</v>
      </c>
      <c r="M134" s="20" t="s">
        <v>10</v>
      </c>
      <c r="N134" s="20" t="s">
        <v>7</v>
      </c>
      <c r="O134" s="21" t="s">
        <v>8</v>
      </c>
      <c r="P134" s="21">
        <f>SUM(Q134:T134)</f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f t="shared" si="2"/>
        <v>3</v>
      </c>
      <c r="V134" s="33">
        <v>1</v>
      </c>
      <c r="W134" s="21">
        <v>1</v>
      </c>
      <c r="X134" s="21">
        <v>1</v>
      </c>
      <c r="Y134" s="33">
        <v>0</v>
      </c>
      <c r="Z134" s="33" t="s">
        <v>299</v>
      </c>
      <c r="AA134" s="33" t="s">
        <v>10</v>
      </c>
    </row>
    <row r="135" spans="1:28" s="22" customFormat="1" x14ac:dyDescent="0.2">
      <c r="A135" s="12" t="s">
        <v>142</v>
      </c>
      <c r="B135" s="12" t="s">
        <v>166</v>
      </c>
      <c r="C135" s="11" t="s">
        <v>170</v>
      </c>
      <c r="D135" s="12" t="s">
        <v>7</v>
      </c>
      <c r="E135" s="12" t="s">
        <v>8</v>
      </c>
      <c r="F135" s="12" t="s">
        <v>8</v>
      </c>
      <c r="G135" s="14">
        <v>23.696685791015625</v>
      </c>
      <c r="H135" s="15">
        <v>23.019868850708008</v>
      </c>
      <c r="I135" s="16" t="s">
        <v>189</v>
      </c>
      <c r="J135" s="17">
        <v>16.487966537475586</v>
      </c>
      <c r="K135" s="18" t="s">
        <v>8</v>
      </c>
      <c r="L135" s="19" t="s">
        <v>8</v>
      </c>
      <c r="M135" s="20" t="s">
        <v>10</v>
      </c>
      <c r="N135" s="20" t="s">
        <v>7</v>
      </c>
      <c r="O135" s="21" t="s">
        <v>8</v>
      </c>
      <c r="P135" s="21">
        <f>SUM(Q135:T135)</f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f t="shared" si="2"/>
        <v>3</v>
      </c>
      <c r="V135" s="33">
        <v>1</v>
      </c>
      <c r="W135" s="21">
        <v>1</v>
      </c>
      <c r="X135" s="21">
        <v>1</v>
      </c>
      <c r="Y135" s="33">
        <v>0</v>
      </c>
      <c r="Z135" s="33" t="s">
        <v>299</v>
      </c>
      <c r="AA135" s="33" t="s">
        <v>10</v>
      </c>
    </row>
    <row r="136" spans="1:28" s="22" customFormat="1" x14ac:dyDescent="0.2">
      <c r="A136" s="12" t="s">
        <v>143</v>
      </c>
      <c r="B136" s="12" t="s">
        <v>166</v>
      </c>
      <c r="C136" s="11" t="s">
        <v>170</v>
      </c>
      <c r="D136" s="12" t="s">
        <v>7</v>
      </c>
      <c r="E136" s="12" t="s">
        <v>8</v>
      </c>
      <c r="F136" s="12" t="s">
        <v>8</v>
      </c>
      <c r="G136" s="14">
        <v>23.956745147705078</v>
      </c>
      <c r="H136" s="15">
        <v>23.698554992675781</v>
      </c>
      <c r="I136" s="16" t="s">
        <v>189</v>
      </c>
      <c r="J136" s="17">
        <v>15.787428855895996</v>
      </c>
      <c r="K136" s="18" t="s">
        <v>8</v>
      </c>
      <c r="L136" s="19" t="s">
        <v>7</v>
      </c>
      <c r="M136" s="20" t="s">
        <v>8</v>
      </c>
      <c r="N136" s="20" t="s">
        <v>7</v>
      </c>
      <c r="O136" s="20" t="s">
        <v>8</v>
      </c>
      <c r="P136" s="21">
        <f>SUM(Q136:T136)</f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f t="shared" si="2"/>
        <v>4</v>
      </c>
      <c r="V136" s="33">
        <v>1</v>
      </c>
      <c r="W136" s="21">
        <v>1</v>
      </c>
      <c r="X136" s="21">
        <v>1</v>
      </c>
      <c r="Y136" s="33">
        <v>1</v>
      </c>
      <c r="Z136" s="33" t="s">
        <v>299</v>
      </c>
      <c r="AA136" s="33" t="s">
        <v>10</v>
      </c>
    </row>
    <row r="137" spans="1:28" s="22" customFormat="1" x14ac:dyDescent="0.2">
      <c r="A137" s="12" t="s">
        <v>144</v>
      </c>
      <c r="B137" s="12" t="s">
        <v>166</v>
      </c>
      <c r="C137" s="11" t="s">
        <v>170</v>
      </c>
      <c r="D137" s="12" t="s">
        <v>8</v>
      </c>
      <c r="E137" s="12" t="s">
        <v>10</v>
      </c>
      <c r="F137" s="12" t="s">
        <v>7</v>
      </c>
      <c r="G137" s="14">
        <v>31.00541877746582</v>
      </c>
      <c r="H137" s="15">
        <v>28.900289535522461</v>
      </c>
      <c r="I137" s="16" t="s">
        <v>190</v>
      </c>
      <c r="J137" s="17">
        <v>19.453968048095703</v>
      </c>
      <c r="K137" s="18" t="s">
        <v>7</v>
      </c>
      <c r="L137" s="19" t="s">
        <v>8</v>
      </c>
      <c r="M137" s="20" t="s">
        <v>10</v>
      </c>
      <c r="N137" s="20" t="s">
        <v>8</v>
      </c>
      <c r="O137" s="20" t="s">
        <v>10</v>
      </c>
      <c r="P137" s="21">
        <f>SUM(Q137:T137)</f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f t="shared" si="2"/>
        <v>1</v>
      </c>
      <c r="V137" s="21">
        <v>0</v>
      </c>
      <c r="W137" s="21">
        <v>0</v>
      </c>
      <c r="X137" s="21">
        <v>0</v>
      </c>
      <c r="Y137" s="21">
        <v>1</v>
      </c>
      <c r="Z137" s="21" t="s">
        <v>299</v>
      </c>
      <c r="AA137" s="21" t="s">
        <v>10</v>
      </c>
    </row>
    <row r="138" spans="1:28" s="22" customFormat="1" x14ac:dyDescent="0.2">
      <c r="A138" s="12" t="s">
        <v>145</v>
      </c>
      <c r="B138" s="12" t="s">
        <v>166</v>
      </c>
      <c r="C138" s="11" t="s">
        <v>170</v>
      </c>
      <c r="D138" s="12" t="s">
        <v>8</v>
      </c>
      <c r="E138" s="12" t="s">
        <v>10</v>
      </c>
      <c r="F138" s="12" t="s">
        <v>7</v>
      </c>
      <c r="G138" s="14">
        <v>27.907421112060547</v>
      </c>
      <c r="H138" s="15">
        <v>27.462942123413086</v>
      </c>
      <c r="I138" s="16" t="s">
        <v>189</v>
      </c>
      <c r="J138" s="17">
        <v>16.874710083007812</v>
      </c>
      <c r="K138" s="18" t="s">
        <v>7</v>
      </c>
      <c r="L138" s="19" t="s">
        <v>8</v>
      </c>
      <c r="M138" s="20" t="s">
        <v>10</v>
      </c>
      <c r="N138" s="20" t="s">
        <v>8</v>
      </c>
      <c r="O138" s="20" t="s">
        <v>10</v>
      </c>
      <c r="P138" s="21">
        <f>SUM(Q138:T138)</f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f t="shared" si="2"/>
        <v>0</v>
      </c>
      <c r="V138" s="21">
        <v>0</v>
      </c>
      <c r="W138" s="21">
        <v>0</v>
      </c>
      <c r="X138" s="21">
        <v>0</v>
      </c>
      <c r="Y138" s="21">
        <v>0</v>
      </c>
      <c r="Z138" s="21" t="s">
        <v>10</v>
      </c>
      <c r="AA138" s="21" t="s">
        <v>10</v>
      </c>
    </row>
    <row r="139" spans="1:28" s="22" customFormat="1" x14ac:dyDescent="0.2">
      <c r="A139" s="12" t="s">
        <v>146</v>
      </c>
      <c r="B139" s="12" t="s">
        <v>166</v>
      </c>
      <c r="C139" s="11" t="s">
        <v>170</v>
      </c>
      <c r="D139" s="13" t="s">
        <v>7</v>
      </c>
      <c r="E139" s="13" t="s">
        <v>7</v>
      </c>
      <c r="F139" s="12" t="s">
        <v>8</v>
      </c>
      <c r="G139" s="14">
        <v>13.309941291809082</v>
      </c>
      <c r="H139" s="15">
        <v>12.914904594421387</v>
      </c>
      <c r="I139" s="16" t="s">
        <v>189</v>
      </c>
      <c r="J139" s="17">
        <v>17.12153434753418</v>
      </c>
      <c r="K139" s="18" t="s">
        <v>7</v>
      </c>
      <c r="L139" s="19" t="s">
        <v>8</v>
      </c>
      <c r="M139" s="20" t="s">
        <v>10</v>
      </c>
      <c r="N139" s="20" t="s">
        <v>7</v>
      </c>
      <c r="O139" s="20" t="s">
        <v>7</v>
      </c>
      <c r="P139" s="21">
        <f>SUM(Q139:T139)</f>
        <v>3</v>
      </c>
      <c r="Q139" s="33">
        <v>1</v>
      </c>
      <c r="R139" s="21">
        <v>1</v>
      </c>
      <c r="S139" s="21">
        <v>1</v>
      </c>
      <c r="T139" s="21">
        <v>0</v>
      </c>
      <c r="U139" s="21">
        <f t="shared" si="2"/>
        <v>3</v>
      </c>
      <c r="V139" s="33">
        <v>1</v>
      </c>
      <c r="W139" s="21">
        <v>1</v>
      </c>
      <c r="X139" s="21">
        <v>1</v>
      </c>
      <c r="Y139" s="21">
        <v>0</v>
      </c>
      <c r="Z139" s="21" t="s">
        <v>299</v>
      </c>
      <c r="AA139" s="21" t="s">
        <v>189</v>
      </c>
      <c r="AB139" s="22" t="s">
        <v>277</v>
      </c>
    </row>
    <row r="140" spans="1:28" s="22" customFormat="1" x14ac:dyDescent="0.2">
      <c r="A140" s="12" t="s">
        <v>147</v>
      </c>
      <c r="B140" s="12" t="s">
        <v>166</v>
      </c>
      <c r="C140" s="11" t="s">
        <v>170</v>
      </c>
      <c r="D140" s="13" t="s">
        <v>7</v>
      </c>
      <c r="E140" s="13" t="s">
        <v>7</v>
      </c>
      <c r="F140" s="12" t="s">
        <v>8</v>
      </c>
      <c r="G140" s="14">
        <v>13.842312812805176</v>
      </c>
      <c r="H140" s="15">
        <v>13.133145332336426</v>
      </c>
      <c r="I140" s="16" t="s">
        <v>189</v>
      </c>
      <c r="J140" s="17">
        <v>16.920780181884766</v>
      </c>
      <c r="K140" s="18" t="s">
        <v>7</v>
      </c>
      <c r="L140" s="19" t="s">
        <v>8</v>
      </c>
      <c r="M140" s="20" t="s">
        <v>8</v>
      </c>
      <c r="N140" s="20" t="s">
        <v>7</v>
      </c>
      <c r="O140" s="20" t="s">
        <v>7</v>
      </c>
      <c r="P140" s="21">
        <f>SUM(Q140:T140)</f>
        <v>3</v>
      </c>
      <c r="Q140" s="33">
        <v>1</v>
      </c>
      <c r="R140" s="21">
        <v>1</v>
      </c>
      <c r="S140" s="21">
        <v>1</v>
      </c>
      <c r="T140" s="21">
        <v>0</v>
      </c>
      <c r="U140" s="21">
        <f t="shared" si="2"/>
        <v>4</v>
      </c>
      <c r="V140" s="33">
        <v>1</v>
      </c>
      <c r="W140" s="21">
        <v>1</v>
      </c>
      <c r="X140" s="21">
        <v>1</v>
      </c>
      <c r="Y140" s="21">
        <v>1</v>
      </c>
      <c r="Z140" s="21" t="s">
        <v>299</v>
      </c>
      <c r="AA140" s="21" t="s">
        <v>189</v>
      </c>
      <c r="AB140" s="22" t="s">
        <v>278</v>
      </c>
    </row>
    <row r="141" spans="1:28" s="22" customFormat="1" x14ac:dyDescent="0.2">
      <c r="A141" s="11" t="s">
        <v>148</v>
      </c>
      <c r="B141" s="11" t="s">
        <v>169</v>
      </c>
      <c r="C141" s="11" t="s">
        <v>170</v>
      </c>
      <c r="D141" s="13" t="s">
        <v>7</v>
      </c>
      <c r="E141" s="13" t="s">
        <v>8</v>
      </c>
      <c r="F141" s="12" t="s">
        <v>8</v>
      </c>
      <c r="G141" s="14">
        <v>23.446128845214844</v>
      </c>
      <c r="H141" s="15">
        <v>25.827730178833008</v>
      </c>
      <c r="I141" s="16" t="s">
        <v>189</v>
      </c>
      <c r="J141" s="17">
        <v>25.561826705932617</v>
      </c>
      <c r="K141" s="18" t="s">
        <v>8</v>
      </c>
      <c r="L141" s="19" t="s">
        <v>7</v>
      </c>
      <c r="M141" s="20" t="s">
        <v>7</v>
      </c>
      <c r="N141" s="20" t="s">
        <v>7</v>
      </c>
      <c r="O141" s="21" t="s">
        <v>8</v>
      </c>
      <c r="P141" s="21">
        <f>SUM(Q141:T141)</f>
        <v>3</v>
      </c>
      <c r="Q141" s="33">
        <v>0</v>
      </c>
      <c r="R141" s="21">
        <v>1</v>
      </c>
      <c r="S141" s="21">
        <v>1</v>
      </c>
      <c r="T141" s="33">
        <v>1</v>
      </c>
      <c r="U141" s="21">
        <f t="shared" si="2"/>
        <v>4</v>
      </c>
      <c r="V141" s="33">
        <v>1</v>
      </c>
      <c r="W141" s="21">
        <v>1</v>
      </c>
      <c r="X141" s="21">
        <v>1</v>
      </c>
      <c r="Y141" s="21">
        <v>1</v>
      </c>
      <c r="Z141" s="21" t="s">
        <v>299</v>
      </c>
      <c r="AA141" s="21" t="s">
        <v>189</v>
      </c>
      <c r="AB141" s="22" t="s">
        <v>281</v>
      </c>
    </row>
    <row r="142" spans="1:28" s="22" customFormat="1" x14ac:dyDescent="0.2">
      <c r="A142" s="11" t="s">
        <v>149</v>
      </c>
      <c r="B142" s="11" t="s">
        <v>169</v>
      </c>
      <c r="C142" s="11" t="s">
        <v>170</v>
      </c>
      <c r="D142" s="13" t="s">
        <v>7</v>
      </c>
      <c r="E142" s="13" t="s">
        <v>7</v>
      </c>
      <c r="F142" s="12" t="s">
        <v>8</v>
      </c>
      <c r="G142" s="14">
        <v>20.237537384033203</v>
      </c>
      <c r="H142" s="15">
        <v>18.504602432250977</v>
      </c>
      <c r="I142" s="16" t="s">
        <v>189</v>
      </c>
      <c r="J142" s="17">
        <v>20.310409545898438</v>
      </c>
      <c r="K142" s="18" t="s">
        <v>7</v>
      </c>
      <c r="L142" s="19" t="s">
        <v>7</v>
      </c>
      <c r="M142" s="20" t="s">
        <v>7</v>
      </c>
      <c r="N142" s="20" t="s">
        <v>7</v>
      </c>
      <c r="O142" s="20" t="s">
        <v>7</v>
      </c>
      <c r="P142" s="21">
        <f>SUM(Q142:T142)</f>
        <v>4</v>
      </c>
      <c r="Q142" s="33">
        <v>1</v>
      </c>
      <c r="R142" s="21">
        <v>1</v>
      </c>
      <c r="S142" s="21">
        <v>1</v>
      </c>
      <c r="T142" s="33">
        <v>1</v>
      </c>
      <c r="U142" s="21">
        <f t="shared" si="2"/>
        <v>5</v>
      </c>
      <c r="V142" s="33">
        <v>1</v>
      </c>
      <c r="W142" s="21">
        <v>1</v>
      </c>
      <c r="X142" s="21">
        <v>1</v>
      </c>
      <c r="Y142" s="21">
        <v>2</v>
      </c>
      <c r="Z142" s="21" t="s">
        <v>298</v>
      </c>
      <c r="AA142" s="21" t="s">
        <v>189</v>
      </c>
      <c r="AB142" s="22" t="s">
        <v>286</v>
      </c>
    </row>
    <row r="143" spans="1:28" s="22" customFormat="1" x14ac:dyDescent="0.2">
      <c r="A143" s="11" t="s">
        <v>150</v>
      </c>
      <c r="B143" s="11" t="s">
        <v>169</v>
      </c>
      <c r="C143" s="11" t="s">
        <v>170</v>
      </c>
      <c r="D143" s="13" t="s">
        <v>7</v>
      </c>
      <c r="E143" s="13" t="s">
        <v>8</v>
      </c>
      <c r="F143" s="12" t="s">
        <v>8</v>
      </c>
      <c r="G143" s="14">
        <v>11.108306884765625</v>
      </c>
      <c r="H143" s="15">
        <v>11.346733093261719</v>
      </c>
      <c r="I143" s="16" t="s">
        <v>189</v>
      </c>
      <c r="J143" s="17">
        <v>22.654106140136719</v>
      </c>
      <c r="K143" s="18" t="s">
        <v>8</v>
      </c>
      <c r="L143" s="19" t="s">
        <v>7</v>
      </c>
      <c r="M143" s="20" t="s">
        <v>7</v>
      </c>
      <c r="N143" s="20" t="s">
        <v>7</v>
      </c>
      <c r="O143" s="20" t="s">
        <v>7</v>
      </c>
      <c r="P143" s="21">
        <f>SUM(Q143:T143)</f>
        <v>5</v>
      </c>
      <c r="Q143" s="33">
        <v>1</v>
      </c>
      <c r="R143" s="33">
        <v>1</v>
      </c>
      <c r="S143" s="33">
        <v>1</v>
      </c>
      <c r="T143" s="33">
        <v>2</v>
      </c>
      <c r="U143" s="21">
        <f t="shared" si="2"/>
        <v>5</v>
      </c>
      <c r="V143" s="33">
        <v>1</v>
      </c>
      <c r="W143" s="33">
        <v>1</v>
      </c>
      <c r="X143" s="33">
        <v>1</v>
      </c>
      <c r="Y143" s="33">
        <v>2</v>
      </c>
      <c r="Z143" s="33" t="s">
        <v>298</v>
      </c>
      <c r="AA143" s="33" t="s">
        <v>189</v>
      </c>
      <c r="AB143" s="22" t="s">
        <v>282</v>
      </c>
    </row>
    <row r="144" spans="1:28" s="22" customFormat="1" x14ac:dyDescent="0.2">
      <c r="A144" s="11" t="s">
        <v>151</v>
      </c>
      <c r="B144" s="11" t="s">
        <v>169</v>
      </c>
      <c r="C144" s="11" t="s">
        <v>170</v>
      </c>
      <c r="D144" s="13" t="s">
        <v>7</v>
      </c>
      <c r="E144" s="13" t="s">
        <v>7</v>
      </c>
      <c r="F144" s="12" t="s">
        <v>8</v>
      </c>
      <c r="G144" s="14">
        <v>15.761326789855957</v>
      </c>
      <c r="H144" s="15">
        <v>14.768697738647461</v>
      </c>
      <c r="I144" s="16" t="s">
        <v>189</v>
      </c>
      <c r="J144" s="17">
        <v>19.096296310424805</v>
      </c>
      <c r="K144" s="18" t="s">
        <v>7</v>
      </c>
      <c r="L144" s="19" t="s">
        <v>7</v>
      </c>
      <c r="M144" s="20" t="s">
        <v>7</v>
      </c>
      <c r="N144" s="20" t="s">
        <v>7</v>
      </c>
      <c r="O144" s="20" t="s">
        <v>7</v>
      </c>
      <c r="P144" s="21">
        <f>SUM(Q144:T144)</f>
        <v>4</v>
      </c>
      <c r="Q144" s="33">
        <v>1</v>
      </c>
      <c r="R144" s="33">
        <v>1</v>
      </c>
      <c r="S144" s="33">
        <v>1</v>
      </c>
      <c r="T144" s="33">
        <v>1</v>
      </c>
      <c r="U144" s="21">
        <f t="shared" si="2"/>
        <v>6</v>
      </c>
      <c r="V144" s="33">
        <v>1</v>
      </c>
      <c r="W144" s="33">
        <v>2</v>
      </c>
      <c r="X144" s="33">
        <v>1</v>
      </c>
      <c r="Y144" s="33">
        <v>2</v>
      </c>
      <c r="Z144" s="33" t="s">
        <v>298</v>
      </c>
      <c r="AA144" s="33" t="s">
        <v>189</v>
      </c>
      <c r="AB144" s="22" t="s">
        <v>283</v>
      </c>
    </row>
    <row r="145" spans="1:28" s="22" customFormat="1" x14ac:dyDescent="0.2">
      <c r="A145" s="11" t="s">
        <v>152</v>
      </c>
      <c r="B145" s="11" t="s">
        <v>169</v>
      </c>
      <c r="C145" s="11" t="s">
        <v>170</v>
      </c>
      <c r="D145" s="13" t="s">
        <v>7</v>
      </c>
      <c r="E145" s="13" t="s">
        <v>7</v>
      </c>
      <c r="F145" s="12" t="s">
        <v>8</v>
      </c>
      <c r="G145" s="14">
        <v>22.435314178466797</v>
      </c>
      <c r="H145" s="15">
        <v>18.712274551391602</v>
      </c>
      <c r="I145" s="16" t="s">
        <v>189</v>
      </c>
      <c r="J145" s="17">
        <v>20.669912338256836</v>
      </c>
      <c r="K145" s="18" t="s">
        <v>7</v>
      </c>
      <c r="L145" s="19" t="s">
        <v>7</v>
      </c>
      <c r="M145" s="20" t="s">
        <v>7</v>
      </c>
      <c r="N145" s="20" t="s">
        <v>7</v>
      </c>
      <c r="O145" s="20" t="s">
        <v>7</v>
      </c>
      <c r="P145" s="21">
        <f>SUM(Q145:T145)</f>
        <v>7</v>
      </c>
      <c r="Q145" s="33">
        <v>2</v>
      </c>
      <c r="R145" s="33">
        <v>2</v>
      </c>
      <c r="S145" s="33">
        <v>2</v>
      </c>
      <c r="T145" s="33">
        <v>1</v>
      </c>
      <c r="U145" s="21">
        <f t="shared" si="2"/>
        <v>7</v>
      </c>
      <c r="V145" s="33">
        <v>2</v>
      </c>
      <c r="W145" s="33">
        <v>2</v>
      </c>
      <c r="X145" s="33">
        <v>2</v>
      </c>
      <c r="Y145" s="33">
        <v>1</v>
      </c>
      <c r="Z145" s="33" t="s">
        <v>298</v>
      </c>
      <c r="AA145" s="33" t="s">
        <v>302</v>
      </c>
      <c r="AB145" s="22" t="s">
        <v>284</v>
      </c>
    </row>
    <row r="146" spans="1:28" s="22" customFormat="1" x14ac:dyDescent="0.2">
      <c r="A146" s="11" t="s">
        <v>153</v>
      </c>
      <c r="B146" s="11" t="s">
        <v>169</v>
      </c>
      <c r="C146" s="11" t="s">
        <v>170</v>
      </c>
      <c r="D146" s="13" t="s">
        <v>7</v>
      </c>
      <c r="E146" s="13" t="s">
        <v>7</v>
      </c>
      <c r="F146" s="12" t="s">
        <v>8</v>
      </c>
      <c r="G146" s="14">
        <v>28.293403625488281</v>
      </c>
      <c r="H146" s="15">
        <v>21.601634979248047</v>
      </c>
      <c r="I146" s="16" t="s">
        <v>189</v>
      </c>
      <c r="J146" s="38">
        <v>26.92</v>
      </c>
      <c r="K146" s="18" t="s">
        <v>7</v>
      </c>
      <c r="L146" s="19" t="s">
        <v>7</v>
      </c>
      <c r="M146" s="20" t="s">
        <v>7</v>
      </c>
      <c r="N146" s="20" t="s">
        <v>7</v>
      </c>
      <c r="O146" s="21" t="s">
        <v>8</v>
      </c>
      <c r="P146" s="21">
        <f>SUM(Q146:T146)</f>
        <v>3</v>
      </c>
      <c r="Q146" s="33">
        <v>0</v>
      </c>
      <c r="R146" s="33">
        <v>2</v>
      </c>
      <c r="S146" s="33">
        <v>0</v>
      </c>
      <c r="T146" s="33">
        <v>1</v>
      </c>
      <c r="U146" s="21">
        <f t="shared" si="2"/>
        <v>5</v>
      </c>
      <c r="V146" s="33">
        <v>1</v>
      </c>
      <c r="W146" s="33">
        <v>2</v>
      </c>
      <c r="X146" s="33">
        <v>1</v>
      </c>
      <c r="Y146" s="33">
        <v>1</v>
      </c>
      <c r="Z146" s="33" t="s">
        <v>298</v>
      </c>
      <c r="AA146" s="33" t="s">
        <v>302</v>
      </c>
      <c r="AB146" s="22" t="s">
        <v>193</v>
      </c>
    </row>
    <row r="147" spans="1:28" s="22" customFormat="1" x14ac:dyDescent="0.2">
      <c r="A147" s="11" t="s">
        <v>154</v>
      </c>
      <c r="B147" s="11" t="s">
        <v>169</v>
      </c>
      <c r="C147" s="11" t="s">
        <v>170</v>
      </c>
      <c r="D147" s="13" t="s">
        <v>7</v>
      </c>
      <c r="E147" s="13" t="s">
        <v>7</v>
      </c>
      <c r="F147" s="12" t="s">
        <v>8</v>
      </c>
      <c r="G147" s="14">
        <v>13.166192054748535</v>
      </c>
      <c r="H147" s="15">
        <v>11.794195175170898</v>
      </c>
      <c r="I147" s="16" t="s">
        <v>189</v>
      </c>
      <c r="J147" s="17">
        <v>23.146303176879883</v>
      </c>
      <c r="K147" s="18" t="s">
        <v>7</v>
      </c>
      <c r="L147" s="19" t="s">
        <v>7</v>
      </c>
      <c r="M147" s="20" t="s">
        <v>7</v>
      </c>
      <c r="N147" s="20" t="s">
        <v>7</v>
      </c>
      <c r="O147" s="21" t="s">
        <v>8</v>
      </c>
      <c r="P147" s="21">
        <f>SUM(Q147:T147)</f>
        <v>4</v>
      </c>
      <c r="Q147" s="33">
        <v>1</v>
      </c>
      <c r="R147" s="33">
        <v>1</v>
      </c>
      <c r="S147" s="33">
        <v>1</v>
      </c>
      <c r="T147" s="33">
        <v>1</v>
      </c>
      <c r="U147" s="21">
        <f t="shared" si="2"/>
        <v>7</v>
      </c>
      <c r="V147" s="33">
        <v>1</v>
      </c>
      <c r="W147" s="33">
        <v>2</v>
      </c>
      <c r="X147" s="33">
        <v>2</v>
      </c>
      <c r="Y147" s="33">
        <v>2</v>
      </c>
      <c r="Z147" s="33" t="s">
        <v>298</v>
      </c>
      <c r="AA147" s="33" t="s">
        <v>189</v>
      </c>
      <c r="AB147" s="22" t="s">
        <v>285</v>
      </c>
    </row>
    <row r="148" spans="1:28" s="22" customFormat="1" x14ac:dyDescent="0.2">
      <c r="A148" s="11" t="s">
        <v>155</v>
      </c>
      <c r="B148" s="11" t="s">
        <v>169</v>
      </c>
      <c r="C148" s="11" t="s">
        <v>170</v>
      </c>
      <c r="D148" s="13" t="s">
        <v>7</v>
      </c>
      <c r="E148" s="13" t="s">
        <v>7</v>
      </c>
      <c r="F148" s="12" t="s">
        <v>8</v>
      </c>
      <c r="G148" s="14">
        <v>12.406154632568359</v>
      </c>
      <c r="H148" s="15">
        <v>10.235311508178711</v>
      </c>
      <c r="I148" s="16" t="s">
        <v>189</v>
      </c>
      <c r="J148" s="17">
        <v>20.794893264770508</v>
      </c>
      <c r="K148" s="18" t="s">
        <v>7</v>
      </c>
      <c r="L148" s="19" t="s">
        <v>7</v>
      </c>
      <c r="M148" s="20" t="s">
        <v>7</v>
      </c>
      <c r="N148" s="20" t="s">
        <v>7</v>
      </c>
      <c r="O148" s="20" t="s">
        <v>7</v>
      </c>
      <c r="P148" s="21">
        <f>SUM(Q148:T148)</f>
        <v>4</v>
      </c>
      <c r="Q148" s="33">
        <v>1</v>
      </c>
      <c r="R148" s="33">
        <v>1</v>
      </c>
      <c r="S148" s="33">
        <v>1</v>
      </c>
      <c r="T148" s="33">
        <v>1</v>
      </c>
      <c r="U148" s="21">
        <f t="shared" si="2"/>
        <v>6</v>
      </c>
      <c r="V148" s="33">
        <v>1</v>
      </c>
      <c r="W148" s="33">
        <v>1</v>
      </c>
      <c r="X148" s="33">
        <v>2</v>
      </c>
      <c r="Y148" s="33">
        <v>2</v>
      </c>
      <c r="Z148" s="33" t="s">
        <v>298</v>
      </c>
      <c r="AA148" s="33" t="s">
        <v>189</v>
      </c>
      <c r="AB148" s="22" t="s">
        <v>289</v>
      </c>
    </row>
    <row r="149" spans="1:28" s="22" customFormat="1" x14ac:dyDescent="0.2">
      <c r="A149" s="11" t="s">
        <v>156</v>
      </c>
      <c r="B149" s="11" t="s">
        <v>169</v>
      </c>
      <c r="C149" s="11" t="s">
        <v>170</v>
      </c>
      <c r="D149" s="13" t="s">
        <v>7</v>
      </c>
      <c r="E149" s="13" t="s">
        <v>7</v>
      </c>
      <c r="F149" s="12" t="s">
        <v>8</v>
      </c>
      <c r="G149" s="14">
        <v>26.697927474975586</v>
      </c>
      <c r="H149" s="15">
        <v>23.465139389038086</v>
      </c>
      <c r="I149" s="16" t="s">
        <v>189</v>
      </c>
      <c r="J149" s="17">
        <v>24.773891448974609</v>
      </c>
      <c r="K149" s="18" t="s">
        <v>7</v>
      </c>
      <c r="L149" s="19" t="s">
        <v>7</v>
      </c>
      <c r="M149" s="20" t="s">
        <v>7</v>
      </c>
      <c r="N149" s="20" t="s">
        <v>7</v>
      </c>
      <c r="O149" s="20" t="s">
        <v>8</v>
      </c>
      <c r="P149" s="21">
        <f>SUM(Q149:T149)</f>
        <v>3</v>
      </c>
      <c r="Q149" s="33">
        <v>0</v>
      </c>
      <c r="R149" s="33">
        <v>1</v>
      </c>
      <c r="S149" s="33">
        <v>1</v>
      </c>
      <c r="T149" s="33">
        <v>1</v>
      </c>
      <c r="U149" s="21">
        <f t="shared" si="2"/>
        <v>6</v>
      </c>
      <c r="V149" s="33">
        <v>1</v>
      </c>
      <c r="W149" s="33">
        <v>1</v>
      </c>
      <c r="X149" s="33">
        <v>2</v>
      </c>
      <c r="Y149" s="33">
        <v>2</v>
      </c>
      <c r="Z149" s="33" t="s">
        <v>298</v>
      </c>
      <c r="AA149" s="33" t="s">
        <v>189</v>
      </c>
      <c r="AB149" s="22" t="s">
        <v>290</v>
      </c>
    </row>
    <row r="150" spans="1:28" s="22" customFormat="1" x14ac:dyDescent="0.2">
      <c r="A150" s="11" t="s">
        <v>157</v>
      </c>
      <c r="B150" s="11" t="s">
        <v>169</v>
      </c>
      <c r="C150" s="11" t="s">
        <v>170</v>
      </c>
      <c r="D150" s="13" t="s">
        <v>7</v>
      </c>
      <c r="E150" s="13" t="s">
        <v>7</v>
      </c>
      <c r="F150" s="12" t="s">
        <v>8</v>
      </c>
      <c r="G150" s="14">
        <v>21.868898391723633</v>
      </c>
      <c r="H150" s="15">
        <v>20.345460891723633</v>
      </c>
      <c r="I150" s="16" t="s">
        <v>189</v>
      </c>
      <c r="J150" s="17">
        <v>22.557760238647461</v>
      </c>
      <c r="K150" s="18" t="s">
        <v>7</v>
      </c>
      <c r="L150" s="19" t="s">
        <v>7</v>
      </c>
      <c r="M150" s="20" t="s">
        <v>7</v>
      </c>
      <c r="N150" s="20" t="s">
        <v>7</v>
      </c>
      <c r="O150" s="21" t="s">
        <v>8</v>
      </c>
      <c r="P150" s="21">
        <f>SUM(Q150:T150)</f>
        <v>4</v>
      </c>
      <c r="Q150" s="33">
        <v>1</v>
      </c>
      <c r="R150" s="33">
        <v>1</v>
      </c>
      <c r="S150" s="33">
        <v>1</v>
      </c>
      <c r="T150" s="33">
        <v>1</v>
      </c>
      <c r="U150" s="21">
        <f t="shared" si="2"/>
        <v>4</v>
      </c>
      <c r="V150" s="33">
        <v>1</v>
      </c>
      <c r="W150" s="33">
        <v>1</v>
      </c>
      <c r="X150" s="33">
        <v>1</v>
      </c>
      <c r="Y150" s="33">
        <v>1</v>
      </c>
      <c r="Z150" s="33" t="s">
        <v>299</v>
      </c>
      <c r="AA150" s="33" t="s">
        <v>189</v>
      </c>
      <c r="AB150" s="22" t="s">
        <v>291</v>
      </c>
    </row>
    <row r="151" spans="1:28" s="22" customFormat="1" x14ac:dyDescent="0.2">
      <c r="A151" s="11" t="s">
        <v>158</v>
      </c>
      <c r="B151" s="11" t="s">
        <v>169</v>
      </c>
      <c r="C151" s="11" t="s">
        <v>170</v>
      </c>
      <c r="D151" s="13" t="s">
        <v>7</v>
      </c>
      <c r="E151" s="13" t="s">
        <v>8</v>
      </c>
      <c r="F151" s="12" t="s">
        <v>8</v>
      </c>
      <c r="G151" s="14">
        <v>13.570061683654785</v>
      </c>
      <c r="H151" s="15">
        <v>12.292123794555664</v>
      </c>
      <c r="I151" s="16" t="s">
        <v>189</v>
      </c>
      <c r="J151" s="17">
        <v>22.887153625488281</v>
      </c>
      <c r="K151" s="18" t="s">
        <v>8</v>
      </c>
      <c r="L151" s="19" t="s">
        <v>7</v>
      </c>
      <c r="M151" s="20" t="s">
        <v>8</v>
      </c>
      <c r="N151" s="20" t="s">
        <v>7</v>
      </c>
      <c r="O151" s="20" t="s">
        <v>7</v>
      </c>
      <c r="P151" s="21">
        <f>SUM(Q151:T151)</f>
        <v>3</v>
      </c>
      <c r="Q151" s="33">
        <v>1</v>
      </c>
      <c r="R151" s="33">
        <v>1</v>
      </c>
      <c r="S151" s="33">
        <v>1</v>
      </c>
      <c r="T151" s="33">
        <v>0</v>
      </c>
      <c r="U151" s="21">
        <f t="shared" si="2"/>
        <v>5</v>
      </c>
      <c r="V151" s="33">
        <v>1</v>
      </c>
      <c r="W151" s="33">
        <v>1</v>
      </c>
      <c r="X151" s="33">
        <v>1</v>
      </c>
      <c r="Y151" s="33">
        <v>2</v>
      </c>
      <c r="Z151" s="33" t="s">
        <v>298</v>
      </c>
      <c r="AA151" s="33" t="s">
        <v>189</v>
      </c>
      <c r="AB151" s="22" t="s">
        <v>292</v>
      </c>
    </row>
    <row r="152" spans="1:28" s="22" customFormat="1" x14ac:dyDescent="0.2">
      <c r="A152" s="11" t="s">
        <v>159</v>
      </c>
      <c r="B152" s="11" t="s">
        <v>169</v>
      </c>
      <c r="C152" s="11" t="s">
        <v>170</v>
      </c>
      <c r="D152" s="13" t="s">
        <v>7</v>
      </c>
      <c r="E152" s="13" t="s">
        <v>7</v>
      </c>
      <c r="F152" s="12" t="s">
        <v>8</v>
      </c>
      <c r="G152" s="14">
        <v>21.7687892913818</v>
      </c>
      <c r="H152" s="15">
        <v>20.377195358276399</v>
      </c>
      <c r="I152" s="16" t="s">
        <v>189</v>
      </c>
      <c r="J152" s="17">
        <v>24.187526702880859</v>
      </c>
      <c r="K152" s="18" t="s">
        <v>7</v>
      </c>
      <c r="L152" s="19" t="s">
        <v>7</v>
      </c>
      <c r="M152" s="20" t="s">
        <v>7</v>
      </c>
      <c r="N152" s="20" t="s">
        <v>7</v>
      </c>
      <c r="O152" s="20" t="s">
        <v>7</v>
      </c>
      <c r="P152" s="21">
        <f>SUM(Q152:T152)</f>
        <v>6</v>
      </c>
      <c r="Q152" s="33">
        <v>1</v>
      </c>
      <c r="R152" s="33">
        <v>1</v>
      </c>
      <c r="S152" s="33">
        <v>2</v>
      </c>
      <c r="T152" s="33">
        <v>2</v>
      </c>
      <c r="U152" s="21">
        <f t="shared" si="2"/>
        <v>6</v>
      </c>
      <c r="V152" s="33">
        <v>1</v>
      </c>
      <c r="W152" s="33">
        <v>1</v>
      </c>
      <c r="X152" s="33">
        <v>2</v>
      </c>
      <c r="Y152" s="33">
        <v>2</v>
      </c>
      <c r="Z152" s="33" t="s">
        <v>298</v>
      </c>
      <c r="AA152" s="33" t="s">
        <v>302</v>
      </c>
      <c r="AB152" s="22" t="s">
        <v>287</v>
      </c>
    </row>
    <row r="153" spans="1:28" s="22" customFormat="1" x14ac:dyDescent="0.2">
      <c r="A153" s="11" t="s">
        <v>160</v>
      </c>
      <c r="B153" s="11" t="s">
        <v>169</v>
      </c>
      <c r="C153" s="11" t="s">
        <v>170</v>
      </c>
      <c r="D153" s="13" t="s">
        <v>7</v>
      </c>
      <c r="E153" s="13" t="s">
        <v>7</v>
      </c>
      <c r="F153" s="12" t="s">
        <v>8</v>
      </c>
      <c r="G153" s="14">
        <v>23.279169082641602</v>
      </c>
      <c r="H153" s="15">
        <v>24.296541213989258</v>
      </c>
      <c r="I153" s="16" t="s">
        <v>189</v>
      </c>
      <c r="J153" s="17">
        <v>24.869829177856445</v>
      </c>
      <c r="K153" s="18" t="s">
        <v>7</v>
      </c>
      <c r="L153" s="19" t="s">
        <v>7</v>
      </c>
      <c r="M153" s="20" t="s">
        <v>7</v>
      </c>
      <c r="N153" s="20" t="s">
        <v>7</v>
      </c>
      <c r="O153" s="20" t="s">
        <v>7</v>
      </c>
      <c r="P153" s="21">
        <f>SUM(Q153:T153)</f>
        <v>4</v>
      </c>
      <c r="Q153" s="33">
        <v>1</v>
      </c>
      <c r="R153" s="33">
        <v>1</v>
      </c>
      <c r="S153" s="33">
        <v>1</v>
      </c>
      <c r="T153" s="33">
        <v>1</v>
      </c>
      <c r="U153" s="21">
        <f t="shared" si="2"/>
        <v>4</v>
      </c>
      <c r="V153" s="33">
        <v>1</v>
      </c>
      <c r="W153" s="33">
        <v>1</v>
      </c>
      <c r="X153" s="33">
        <v>1</v>
      </c>
      <c r="Y153" s="33">
        <v>1</v>
      </c>
      <c r="Z153" s="33" t="s">
        <v>299</v>
      </c>
      <c r="AA153" s="33" t="s">
        <v>189</v>
      </c>
      <c r="AB153" s="22" t="s">
        <v>288</v>
      </c>
    </row>
    <row r="154" spans="1:28" s="22" customFormat="1" x14ac:dyDescent="0.2">
      <c r="A154" s="12" t="s">
        <v>161</v>
      </c>
      <c r="B154" s="12" t="s">
        <v>166</v>
      </c>
      <c r="C154" s="11" t="s">
        <v>170</v>
      </c>
      <c r="D154" s="13" t="s">
        <v>7</v>
      </c>
      <c r="E154" s="13" t="s">
        <v>8</v>
      </c>
      <c r="F154" s="12" t="s">
        <v>7</v>
      </c>
      <c r="G154" s="14">
        <v>27.725500106811523</v>
      </c>
      <c r="H154" s="24">
        <v>27.296131134033203</v>
      </c>
      <c r="I154" s="16" t="s">
        <v>189</v>
      </c>
      <c r="J154" s="17">
        <v>15.387944221496582</v>
      </c>
      <c r="K154" s="18" t="s">
        <v>7</v>
      </c>
      <c r="L154" s="19" t="s">
        <v>7</v>
      </c>
      <c r="M154" s="20" t="s">
        <v>8</v>
      </c>
      <c r="N154" s="20" t="s">
        <v>7</v>
      </c>
      <c r="O154" s="20" t="s">
        <v>8</v>
      </c>
      <c r="P154" s="21">
        <f>SUM(Q154:T154)</f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f t="shared" si="2"/>
        <v>3</v>
      </c>
      <c r="V154" s="33">
        <v>1</v>
      </c>
      <c r="W154" s="33">
        <v>0</v>
      </c>
      <c r="X154" s="33">
        <v>1</v>
      </c>
      <c r="Y154" s="33">
        <v>1</v>
      </c>
      <c r="Z154" s="33" t="s">
        <v>299</v>
      </c>
      <c r="AA154" s="33" t="s">
        <v>10</v>
      </c>
    </row>
    <row r="155" spans="1:28" s="22" customFormat="1" x14ac:dyDescent="0.2">
      <c r="A155" s="12" t="s">
        <v>162</v>
      </c>
      <c r="B155" s="12" t="s">
        <v>166</v>
      </c>
      <c r="C155" s="11" t="s">
        <v>170</v>
      </c>
      <c r="D155" s="13" t="s">
        <v>7</v>
      </c>
      <c r="E155" s="13" t="s">
        <v>7</v>
      </c>
      <c r="F155" s="12" t="s">
        <v>8</v>
      </c>
      <c r="G155" s="14">
        <v>33.531318664550781</v>
      </c>
      <c r="H155" s="24">
        <v>17.979663848876953</v>
      </c>
      <c r="I155" s="16" t="s">
        <v>190</v>
      </c>
      <c r="J155" s="17">
        <v>14.877009391784668</v>
      </c>
      <c r="K155" s="18" t="s">
        <v>7</v>
      </c>
      <c r="L155" s="19" t="s">
        <v>8</v>
      </c>
      <c r="M155" s="20" t="s">
        <v>10</v>
      </c>
      <c r="N155" s="20" t="s">
        <v>7</v>
      </c>
      <c r="O155" s="20" t="s">
        <v>7</v>
      </c>
      <c r="P155" s="21">
        <f>SUM(Q155:T155)</f>
        <v>4</v>
      </c>
      <c r="Q155" s="33">
        <v>1</v>
      </c>
      <c r="R155" s="33">
        <v>1</v>
      </c>
      <c r="S155" s="33">
        <v>2</v>
      </c>
      <c r="T155" s="33">
        <v>0</v>
      </c>
      <c r="U155" s="21">
        <f t="shared" si="2"/>
        <v>4</v>
      </c>
      <c r="V155" s="33">
        <v>1</v>
      </c>
      <c r="W155" s="33">
        <v>1</v>
      </c>
      <c r="X155" s="33">
        <v>2</v>
      </c>
      <c r="Y155" s="33">
        <v>0</v>
      </c>
      <c r="Z155" s="33" t="s">
        <v>298</v>
      </c>
      <c r="AA155" s="33" t="s">
        <v>190</v>
      </c>
      <c r="AB155" s="22" t="s">
        <v>195</v>
      </c>
    </row>
    <row r="156" spans="1:28" s="22" customFormat="1" x14ac:dyDescent="0.2">
      <c r="A156" s="12" t="s">
        <v>163</v>
      </c>
      <c r="B156" s="12" t="s">
        <v>166</v>
      </c>
      <c r="C156" s="11" t="s">
        <v>170</v>
      </c>
      <c r="D156" s="13" t="s">
        <v>8</v>
      </c>
      <c r="E156" s="13" t="s">
        <v>10</v>
      </c>
      <c r="F156" s="12" t="s">
        <v>7</v>
      </c>
      <c r="G156" s="14">
        <v>28.555776596069336</v>
      </c>
      <c r="H156" s="24">
        <v>27.197526931762695</v>
      </c>
      <c r="I156" s="16" t="s">
        <v>189</v>
      </c>
      <c r="J156" s="17">
        <v>12.559382438659668</v>
      </c>
      <c r="K156" s="18" t="s">
        <v>7</v>
      </c>
      <c r="L156" s="19" t="s">
        <v>8</v>
      </c>
      <c r="M156" s="20" t="s">
        <v>10</v>
      </c>
      <c r="N156" s="20" t="s">
        <v>8</v>
      </c>
      <c r="O156" s="20" t="s">
        <v>10</v>
      </c>
      <c r="P156" s="21">
        <f>SUM(Q156:T156)</f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f t="shared" si="2"/>
        <v>2</v>
      </c>
      <c r="V156" s="21">
        <v>1</v>
      </c>
      <c r="W156" s="21">
        <v>0</v>
      </c>
      <c r="X156" s="21">
        <v>0</v>
      </c>
      <c r="Y156" s="21">
        <v>1</v>
      </c>
      <c r="Z156" s="21" t="s">
        <v>299</v>
      </c>
      <c r="AA156" s="21" t="s">
        <v>10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4845-27DC-C94F-BD11-5ED4E7AEA213}">
  <dimension ref="A1:K159"/>
  <sheetViews>
    <sheetView zoomScaleNormal="100" workbookViewId="0">
      <selection activeCell="J1" sqref="J1:K1048576"/>
    </sheetView>
  </sheetViews>
  <sheetFormatPr baseColWidth="10" defaultRowHeight="16" x14ac:dyDescent="0.2"/>
  <cols>
    <col min="1" max="1" width="19.6640625" bestFit="1" customWidth="1"/>
    <col min="2" max="2" width="13.5" bestFit="1" customWidth="1"/>
    <col min="3" max="3" width="13.5" customWidth="1"/>
    <col min="4" max="4" width="17.83203125" bestFit="1" customWidth="1"/>
    <col min="5" max="5" width="12.6640625" bestFit="1" customWidth="1"/>
    <col min="6" max="6" width="12.33203125" bestFit="1" customWidth="1"/>
    <col min="7" max="7" width="11.6640625" bestFit="1" customWidth="1"/>
    <col min="8" max="8" width="15.83203125" customWidth="1"/>
    <col min="9" max="9" width="45" bestFit="1" customWidth="1"/>
    <col min="10" max="10" width="12.5" bestFit="1" customWidth="1"/>
    <col min="11" max="11" width="16.6640625" style="1" customWidth="1"/>
  </cols>
  <sheetData>
    <row r="1" spans="1:11" ht="68" x14ac:dyDescent="0.2">
      <c r="A1" s="2" t="s">
        <v>294</v>
      </c>
      <c r="B1" s="2" t="s">
        <v>477</v>
      </c>
      <c r="C1" s="2" t="s">
        <v>478</v>
      </c>
      <c r="D1" s="2" t="s">
        <v>479</v>
      </c>
      <c r="E1" s="2" t="s">
        <v>480</v>
      </c>
      <c r="F1" s="2" t="s">
        <v>473</v>
      </c>
      <c r="G1" s="2" t="s">
        <v>295</v>
      </c>
      <c r="H1" s="2" t="s">
        <v>474</v>
      </c>
      <c r="I1" s="2" t="s">
        <v>475</v>
      </c>
      <c r="J1" s="6" t="s">
        <v>476</v>
      </c>
      <c r="K1" s="6" t="s">
        <v>472</v>
      </c>
    </row>
    <row r="2" spans="1:11" ht="34" x14ac:dyDescent="0.2">
      <c r="A2" s="3" t="s">
        <v>6</v>
      </c>
      <c r="B2" s="3" t="s">
        <v>166</v>
      </c>
      <c r="C2" s="3" t="s">
        <v>303</v>
      </c>
      <c r="D2" s="4"/>
      <c r="E2" s="3" t="s">
        <v>296</v>
      </c>
      <c r="F2" s="3" t="s">
        <v>296</v>
      </c>
      <c r="G2" s="3" t="s">
        <v>296</v>
      </c>
      <c r="H2" s="3" t="s">
        <v>296</v>
      </c>
      <c r="I2" s="3" t="s">
        <v>216</v>
      </c>
      <c r="J2" s="7" t="s">
        <v>332</v>
      </c>
      <c r="K2" s="9">
        <v>3599.2704043040799</v>
      </c>
    </row>
    <row r="3" spans="1:11" ht="17" x14ac:dyDescent="0.2">
      <c r="A3" s="3" t="s">
        <v>9</v>
      </c>
      <c r="B3" s="3" t="s">
        <v>166</v>
      </c>
      <c r="C3" s="3" t="s">
        <v>303</v>
      </c>
      <c r="D3" s="4"/>
      <c r="E3" s="3" t="s">
        <v>297</v>
      </c>
      <c r="F3" s="3" t="s">
        <v>10</v>
      </c>
      <c r="G3" s="3" t="s">
        <v>297</v>
      </c>
      <c r="H3" s="3" t="s">
        <v>10</v>
      </c>
      <c r="I3" s="3" t="s">
        <v>10</v>
      </c>
      <c r="J3" s="7" t="s">
        <v>335</v>
      </c>
      <c r="K3" s="3">
        <v>0.17</v>
      </c>
    </row>
    <row r="4" spans="1:11" ht="17" x14ac:dyDescent="0.2">
      <c r="A4" s="3" t="s">
        <v>11</v>
      </c>
      <c r="B4" s="3" t="s">
        <v>166</v>
      </c>
      <c r="C4" s="3" t="s">
        <v>303</v>
      </c>
      <c r="D4" s="4"/>
      <c r="E4" s="3" t="s">
        <v>297</v>
      </c>
      <c r="F4" s="3" t="s">
        <v>10</v>
      </c>
      <c r="G4" s="3" t="s">
        <v>297</v>
      </c>
      <c r="H4" s="3" t="s">
        <v>10</v>
      </c>
      <c r="I4" s="3" t="s">
        <v>10</v>
      </c>
      <c r="J4" s="7" t="s">
        <v>434</v>
      </c>
      <c r="K4" s="3" t="s">
        <v>10</v>
      </c>
    </row>
    <row r="5" spans="1:11" ht="17" x14ac:dyDescent="0.2">
      <c r="A5" s="3" t="s">
        <v>12</v>
      </c>
      <c r="B5" s="3" t="s">
        <v>166</v>
      </c>
      <c r="C5" s="3" t="s">
        <v>303</v>
      </c>
      <c r="D5" s="4"/>
      <c r="E5" s="3" t="s">
        <v>297</v>
      </c>
      <c r="F5" s="3" t="s">
        <v>10</v>
      </c>
      <c r="G5" s="3" t="s">
        <v>297</v>
      </c>
      <c r="H5" s="3" t="s">
        <v>10</v>
      </c>
      <c r="I5" s="3" t="s">
        <v>10</v>
      </c>
      <c r="J5" s="7" t="s">
        <v>327</v>
      </c>
      <c r="K5" s="3" t="s">
        <v>10</v>
      </c>
    </row>
    <row r="6" spans="1:11" ht="17" x14ac:dyDescent="0.2">
      <c r="A6" s="3" t="s">
        <v>13</v>
      </c>
      <c r="B6" s="3" t="s">
        <v>166</v>
      </c>
      <c r="C6" s="3" t="s">
        <v>303</v>
      </c>
      <c r="D6" s="4"/>
      <c r="E6" s="3" t="s">
        <v>296</v>
      </c>
      <c r="F6" s="3" t="s">
        <v>296</v>
      </c>
      <c r="G6" s="3" t="s">
        <v>296</v>
      </c>
      <c r="H6" s="3" t="s">
        <v>296</v>
      </c>
      <c r="I6" s="3" t="s">
        <v>217</v>
      </c>
      <c r="J6" s="7" t="s">
        <v>354</v>
      </c>
      <c r="K6" s="9">
        <v>4675.7631728579699</v>
      </c>
    </row>
    <row r="7" spans="1:11" ht="17" x14ac:dyDescent="0.2">
      <c r="A7" s="3" t="s">
        <v>14</v>
      </c>
      <c r="B7" s="3" t="s">
        <v>166</v>
      </c>
      <c r="C7" s="3" t="s">
        <v>303</v>
      </c>
      <c r="D7" s="4"/>
      <c r="E7" s="3" t="s">
        <v>297</v>
      </c>
      <c r="F7" s="3" t="s">
        <v>10</v>
      </c>
      <c r="G7" s="3" t="s">
        <v>297</v>
      </c>
      <c r="H7" s="3" t="s">
        <v>10</v>
      </c>
      <c r="I7" s="3" t="s">
        <v>10</v>
      </c>
      <c r="J7" s="7" t="s">
        <v>426</v>
      </c>
      <c r="K7" s="3" t="s">
        <v>10</v>
      </c>
    </row>
    <row r="8" spans="1:11" ht="17" x14ac:dyDescent="0.2">
      <c r="A8" s="3" t="s">
        <v>15</v>
      </c>
      <c r="B8" s="3" t="s">
        <v>166</v>
      </c>
      <c r="C8" s="3" t="s">
        <v>303</v>
      </c>
      <c r="D8" s="4"/>
      <c r="E8" s="3" t="s">
        <v>296</v>
      </c>
      <c r="F8" s="3" t="s">
        <v>296</v>
      </c>
      <c r="G8" s="3" t="s">
        <v>297</v>
      </c>
      <c r="H8" s="3" t="s">
        <v>10</v>
      </c>
      <c r="I8" s="3" t="s">
        <v>218</v>
      </c>
      <c r="J8" s="7" t="s">
        <v>428</v>
      </c>
      <c r="K8" s="9">
        <v>300.65634480631098</v>
      </c>
    </row>
    <row r="9" spans="1:11" ht="17" x14ac:dyDescent="0.2">
      <c r="A9" s="3" t="s">
        <v>16</v>
      </c>
      <c r="B9" s="3" t="s">
        <v>166</v>
      </c>
      <c r="C9" s="3" t="s">
        <v>303</v>
      </c>
      <c r="D9" s="4"/>
      <c r="E9" s="3" t="s">
        <v>296</v>
      </c>
      <c r="F9" s="3" t="s">
        <v>296</v>
      </c>
      <c r="G9" s="3" t="s">
        <v>297</v>
      </c>
      <c r="H9" s="3" t="s">
        <v>10</v>
      </c>
      <c r="I9" s="3" t="s">
        <v>219</v>
      </c>
      <c r="J9" s="7" t="s">
        <v>436</v>
      </c>
      <c r="K9" s="9">
        <v>390.85671219821899</v>
      </c>
    </row>
    <row r="10" spans="1:11" ht="17" x14ac:dyDescent="0.2">
      <c r="A10" s="3" t="s">
        <v>17</v>
      </c>
      <c r="B10" s="3" t="s">
        <v>166</v>
      </c>
      <c r="C10" s="3" t="s">
        <v>303</v>
      </c>
      <c r="D10" s="4"/>
      <c r="E10" s="3" t="s">
        <v>296</v>
      </c>
      <c r="F10" s="3" t="s">
        <v>296</v>
      </c>
      <c r="G10" s="3" t="s">
        <v>296</v>
      </c>
      <c r="H10" s="3" t="s">
        <v>296</v>
      </c>
      <c r="I10" s="3" t="s">
        <v>220</v>
      </c>
      <c r="J10" s="7" t="s">
        <v>444</v>
      </c>
      <c r="K10" s="10">
        <v>73.351929047099404</v>
      </c>
    </row>
    <row r="11" spans="1:11" ht="17" x14ac:dyDescent="0.2">
      <c r="A11" s="3" t="s">
        <v>18</v>
      </c>
      <c r="B11" s="3" t="s">
        <v>166</v>
      </c>
      <c r="C11" s="3" t="s">
        <v>303</v>
      </c>
      <c r="D11" s="4"/>
      <c r="E11" s="3" t="s">
        <v>297</v>
      </c>
      <c r="F11" s="3" t="s">
        <v>10</v>
      </c>
      <c r="G11" s="3" t="s">
        <v>297</v>
      </c>
      <c r="H11" s="3" t="s">
        <v>10</v>
      </c>
      <c r="I11" s="3" t="s">
        <v>10</v>
      </c>
      <c r="J11" s="7" t="s">
        <v>456</v>
      </c>
      <c r="K11" s="3">
        <v>0.3</v>
      </c>
    </row>
    <row r="12" spans="1:11" ht="17" x14ac:dyDescent="0.2">
      <c r="A12" s="3" t="s">
        <v>19</v>
      </c>
      <c r="B12" s="3" t="s">
        <v>166</v>
      </c>
      <c r="C12" s="3" t="s">
        <v>303</v>
      </c>
      <c r="D12" s="4"/>
      <c r="E12" s="3" t="s">
        <v>296</v>
      </c>
      <c r="F12" s="3" t="s">
        <v>296</v>
      </c>
      <c r="G12" s="3" t="s">
        <v>297</v>
      </c>
      <c r="H12" s="3" t="s">
        <v>10</v>
      </c>
      <c r="I12" s="3" t="s">
        <v>228</v>
      </c>
      <c r="J12" s="7" t="s">
        <v>334</v>
      </c>
      <c r="K12" s="9">
        <v>249.08448052841001</v>
      </c>
    </row>
    <row r="13" spans="1:11" ht="17" x14ac:dyDescent="0.2">
      <c r="A13" s="3" t="s">
        <v>20</v>
      </c>
      <c r="B13" s="3" t="s">
        <v>166</v>
      </c>
      <c r="C13" s="3" t="s">
        <v>303</v>
      </c>
      <c r="D13" s="4"/>
      <c r="E13" s="3" t="s">
        <v>296</v>
      </c>
      <c r="F13" s="3" t="s">
        <v>296</v>
      </c>
      <c r="G13" s="3" t="s">
        <v>296</v>
      </c>
      <c r="H13" s="3" t="s">
        <v>296</v>
      </c>
      <c r="I13" s="3" t="s">
        <v>227</v>
      </c>
      <c r="J13" s="7" t="s">
        <v>365</v>
      </c>
      <c r="K13" s="9">
        <v>1044.9804774929401</v>
      </c>
    </row>
    <row r="14" spans="1:11" ht="17" x14ac:dyDescent="0.2">
      <c r="A14" s="3" t="s">
        <v>21</v>
      </c>
      <c r="B14" s="3" t="s">
        <v>166</v>
      </c>
      <c r="C14" s="3" t="s">
        <v>303</v>
      </c>
      <c r="D14" s="4"/>
      <c r="E14" s="3" t="s">
        <v>296</v>
      </c>
      <c r="F14" s="3" t="s">
        <v>297</v>
      </c>
      <c r="G14" s="3" t="s">
        <v>297</v>
      </c>
      <c r="H14" s="3" t="s">
        <v>10</v>
      </c>
      <c r="I14" s="3" t="s">
        <v>10</v>
      </c>
      <c r="J14" s="7" t="s">
        <v>399</v>
      </c>
      <c r="K14" s="3">
        <v>0.53</v>
      </c>
    </row>
    <row r="15" spans="1:11" ht="17" x14ac:dyDescent="0.2">
      <c r="A15" s="3" t="s">
        <v>22</v>
      </c>
      <c r="B15" s="3" t="s">
        <v>166</v>
      </c>
      <c r="C15" s="3" t="s">
        <v>303</v>
      </c>
      <c r="D15" s="4"/>
      <c r="E15" s="3" t="s">
        <v>296</v>
      </c>
      <c r="F15" s="3" t="s">
        <v>296</v>
      </c>
      <c r="G15" s="3" t="s">
        <v>296</v>
      </c>
      <c r="H15" s="3" t="s">
        <v>296</v>
      </c>
      <c r="I15" s="3" t="s">
        <v>223</v>
      </c>
      <c r="J15" s="7" t="s">
        <v>395</v>
      </c>
      <c r="K15" s="9">
        <v>17538.301284684501</v>
      </c>
    </row>
    <row r="16" spans="1:11" ht="17" x14ac:dyDescent="0.2">
      <c r="A16" s="3" t="s">
        <v>23</v>
      </c>
      <c r="B16" s="3" t="s">
        <v>166</v>
      </c>
      <c r="C16" s="3" t="s">
        <v>303</v>
      </c>
      <c r="D16" s="4"/>
      <c r="E16" s="3" t="s">
        <v>296</v>
      </c>
      <c r="F16" s="3" t="s">
        <v>296</v>
      </c>
      <c r="G16" s="3" t="s">
        <v>297</v>
      </c>
      <c r="H16" s="3" t="s">
        <v>10</v>
      </c>
      <c r="I16" s="3" t="s">
        <v>224</v>
      </c>
      <c r="J16" s="7" t="s">
        <v>391</v>
      </c>
      <c r="K16" s="9">
        <v>198.87920853009501</v>
      </c>
    </row>
    <row r="17" spans="1:11" ht="34" x14ac:dyDescent="0.2">
      <c r="A17" s="3" t="s">
        <v>24</v>
      </c>
      <c r="B17" s="3" t="s">
        <v>166</v>
      </c>
      <c r="C17" s="3" t="s">
        <v>303</v>
      </c>
      <c r="D17" s="4"/>
      <c r="E17" s="3" t="s">
        <v>296</v>
      </c>
      <c r="F17" s="3" t="s">
        <v>296</v>
      </c>
      <c r="G17" s="3" t="s">
        <v>296</v>
      </c>
      <c r="H17" s="3" t="s">
        <v>296</v>
      </c>
      <c r="I17" s="3" t="s">
        <v>225</v>
      </c>
      <c r="J17" s="7" t="s">
        <v>415</v>
      </c>
      <c r="K17" s="9">
        <v>546.17376033020105</v>
      </c>
    </row>
    <row r="18" spans="1:11" ht="17" x14ac:dyDescent="0.2">
      <c r="A18" s="3" t="s">
        <v>25</v>
      </c>
      <c r="B18" s="3" t="s">
        <v>166</v>
      </c>
      <c r="C18" s="3" t="s">
        <v>303</v>
      </c>
      <c r="D18" s="4"/>
      <c r="E18" s="3" t="s">
        <v>296</v>
      </c>
      <c r="F18" s="3" t="s">
        <v>296</v>
      </c>
      <c r="G18" s="3" t="s">
        <v>297</v>
      </c>
      <c r="H18" s="3" t="s">
        <v>10</v>
      </c>
      <c r="I18" s="3" t="s">
        <v>226</v>
      </c>
      <c r="J18" s="7" t="s">
        <v>403</v>
      </c>
      <c r="K18" s="9">
        <v>493.12778545412903</v>
      </c>
    </row>
    <row r="19" spans="1:11" ht="17" x14ac:dyDescent="0.2">
      <c r="A19" s="3" t="s">
        <v>26</v>
      </c>
      <c r="B19" s="3" t="s">
        <v>166</v>
      </c>
      <c r="C19" s="3" t="s">
        <v>303</v>
      </c>
      <c r="D19" s="4"/>
      <c r="E19" s="3" t="s">
        <v>296</v>
      </c>
      <c r="F19" s="3" t="s">
        <v>296</v>
      </c>
      <c r="G19" s="3" t="s">
        <v>297</v>
      </c>
      <c r="H19" s="3" t="s">
        <v>10</v>
      </c>
      <c r="I19" s="3" t="s">
        <v>221</v>
      </c>
      <c r="J19" s="7" t="s">
        <v>415</v>
      </c>
      <c r="K19" s="9">
        <v>82.542173517113696</v>
      </c>
    </row>
    <row r="20" spans="1:11" ht="17" x14ac:dyDescent="0.2">
      <c r="A20" s="3" t="s">
        <v>27</v>
      </c>
      <c r="B20" s="3" t="s">
        <v>166</v>
      </c>
      <c r="C20" s="3" t="s">
        <v>303</v>
      </c>
      <c r="D20" s="4"/>
      <c r="E20" s="3" t="s">
        <v>296</v>
      </c>
      <c r="F20" s="3" t="s">
        <v>297</v>
      </c>
      <c r="G20" s="3" t="s">
        <v>297</v>
      </c>
      <c r="H20" s="3" t="s">
        <v>297</v>
      </c>
      <c r="I20" s="3" t="s">
        <v>10</v>
      </c>
      <c r="J20" s="7" t="s">
        <v>414</v>
      </c>
      <c r="K20" s="3">
        <v>5.72</v>
      </c>
    </row>
    <row r="21" spans="1:11" ht="17" x14ac:dyDescent="0.2">
      <c r="A21" s="3" t="s">
        <v>28</v>
      </c>
      <c r="B21" s="3" t="s">
        <v>166</v>
      </c>
      <c r="C21" s="3" t="s">
        <v>303</v>
      </c>
      <c r="D21" s="4"/>
      <c r="E21" s="3" t="s">
        <v>296</v>
      </c>
      <c r="F21" s="3" t="s">
        <v>296</v>
      </c>
      <c r="G21" s="3" t="s">
        <v>296</v>
      </c>
      <c r="H21" s="3" t="s">
        <v>296</v>
      </c>
      <c r="I21" s="3" t="s">
        <v>222</v>
      </c>
      <c r="J21" s="7" t="s">
        <v>411</v>
      </c>
      <c r="K21" s="9">
        <v>3661.3206785873199</v>
      </c>
    </row>
    <row r="22" spans="1:11" ht="17" x14ac:dyDescent="0.2">
      <c r="A22" s="3" t="s">
        <v>29</v>
      </c>
      <c r="B22" s="3" t="s">
        <v>166</v>
      </c>
      <c r="C22" s="3" t="s">
        <v>303</v>
      </c>
      <c r="D22" s="4"/>
      <c r="E22" s="3" t="s">
        <v>297</v>
      </c>
      <c r="F22" s="3" t="s">
        <v>10</v>
      </c>
      <c r="G22" s="3" t="s">
        <v>297</v>
      </c>
      <c r="H22" s="3" t="s">
        <v>10</v>
      </c>
      <c r="I22" s="3" t="s">
        <v>10</v>
      </c>
      <c r="J22" s="7" t="s">
        <v>330</v>
      </c>
      <c r="K22" s="3" t="s">
        <v>10</v>
      </c>
    </row>
    <row r="23" spans="1:11" ht="17" x14ac:dyDescent="0.2">
      <c r="A23" s="3" t="s">
        <v>30</v>
      </c>
      <c r="B23" s="3" t="s">
        <v>166</v>
      </c>
      <c r="C23" s="3" t="s">
        <v>303</v>
      </c>
      <c r="D23" s="4"/>
      <c r="E23" s="3" t="s">
        <v>296</v>
      </c>
      <c r="F23" s="3" t="s">
        <v>297</v>
      </c>
      <c r="G23" s="3" t="s">
        <v>297</v>
      </c>
      <c r="H23" s="3" t="s">
        <v>10</v>
      </c>
      <c r="I23" s="3" t="s">
        <v>10</v>
      </c>
      <c r="J23" s="7" t="s">
        <v>326</v>
      </c>
      <c r="K23" s="3">
        <v>0.31</v>
      </c>
    </row>
    <row r="24" spans="1:11" ht="17" x14ac:dyDescent="0.2">
      <c r="A24" s="3" t="s">
        <v>31</v>
      </c>
      <c r="B24" s="3" t="s">
        <v>166</v>
      </c>
      <c r="C24" s="3" t="s">
        <v>303</v>
      </c>
      <c r="D24" s="4"/>
      <c r="E24" s="3" t="s">
        <v>296</v>
      </c>
      <c r="F24" s="3" t="s">
        <v>296</v>
      </c>
      <c r="G24" s="3" t="s">
        <v>297</v>
      </c>
      <c r="H24" s="3" t="s">
        <v>10</v>
      </c>
      <c r="I24" s="3" t="s">
        <v>229</v>
      </c>
      <c r="J24" s="7" t="s">
        <v>322</v>
      </c>
      <c r="K24" s="9">
        <v>611.20738092722604</v>
      </c>
    </row>
    <row r="25" spans="1:11" ht="17" x14ac:dyDescent="0.2">
      <c r="A25" s="3" t="s">
        <v>32</v>
      </c>
      <c r="B25" s="3" t="s">
        <v>166</v>
      </c>
      <c r="C25" s="3" t="s">
        <v>303</v>
      </c>
      <c r="D25" s="4"/>
      <c r="E25" s="3" t="s">
        <v>297</v>
      </c>
      <c r="F25" s="3" t="s">
        <v>10</v>
      </c>
      <c r="G25" s="3" t="s">
        <v>297</v>
      </c>
      <c r="H25" s="3" t="s">
        <v>10</v>
      </c>
      <c r="I25" s="3" t="s">
        <v>10</v>
      </c>
      <c r="J25" s="7" t="s">
        <v>331</v>
      </c>
      <c r="K25" s="3" t="s">
        <v>10</v>
      </c>
    </row>
    <row r="26" spans="1:11" ht="17" x14ac:dyDescent="0.2">
      <c r="A26" s="3" t="s">
        <v>33</v>
      </c>
      <c r="B26" s="3" t="s">
        <v>166</v>
      </c>
      <c r="C26" s="3" t="s">
        <v>303</v>
      </c>
      <c r="D26" s="4"/>
      <c r="E26" s="3" t="s">
        <v>296</v>
      </c>
      <c r="F26" s="3" t="s">
        <v>296</v>
      </c>
      <c r="G26" s="3" t="s">
        <v>297</v>
      </c>
      <c r="H26" s="3" t="s">
        <v>10</v>
      </c>
      <c r="I26" s="3" t="s">
        <v>234</v>
      </c>
      <c r="J26" s="7" t="s">
        <v>325</v>
      </c>
      <c r="K26" s="9">
        <v>553.01428172466399</v>
      </c>
    </row>
    <row r="27" spans="1:11" ht="17" x14ac:dyDescent="0.2">
      <c r="A27" s="3" t="s">
        <v>34</v>
      </c>
      <c r="B27" s="3" t="s">
        <v>166</v>
      </c>
      <c r="C27" s="3" t="s">
        <v>303</v>
      </c>
      <c r="D27" s="4"/>
      <c r="E27" s="3" t="s">
        <v>296</v>
      </c>
      <c r="F27" s="3" t="s">
        <v>296</v>
      </c>
      <c r="G27" s="3" t="s">
        <v>296</v>
      </c>
      <c r="H27" s="3" t="s">
        <v>296</v>
      </c>
      <c r="I27" s="3" t="s">
        <v>232</v>
      </c>
      <c r="J27" s="7" t="s">
        <v>333</v>
      </c>
      <c r="K27" s="9">
        <v>45347.352244383503</v>
      </c>
    </row>
    <row r="28" spans="1:11" ht="17" x14ac:dyDescent="0.2">
      <c r="A28" s="3" t="s">
        <v>35</v>
      </c>
      <c r="B28" s="3" t="s">
        <v>166</v>
      </c>
      <c r="C28" s="3" t="s">
        <v>303</v>
      </c>
      <c r="D28" s="4"/>
      <c r="E28" s="3" t="s">
        <v>296</v>
      </c>
      <c r="F28" s="3" t="s">
        <v>297</v>
      </c>
      <c r="G28" s="3" t="s">
        <v>296</v>
      </c>
      <c r="H28" s="3" t="s">
        <v>296</v>
      </c>
      <c r="I28" s="3" t="s">
        <v>233</v>
      </c>
      <c r="J28" s="7" t="s">
        <v>328</v>
      </c>
      <c r="K28" s="9">
        <v>59.718601769899102</v>
      </c>
    </row>
    <row r="29" spans="1:11" ht="17" x14ac:dyDescent="0.2">
      <c r="A29" s="3" t="s">
        <v>36</v>
      </c>
      <c r="B29" s="3" t="s">
        <v>166</v>
      </c>
      <c r="C29" s="3" t="s">
        <v>303</v>
      </c>
      <c r="D29" s="4"/>
      <c r="E29" s="3" t="s">
        <v>296</v>
      </c>
      <c r="F29" s="3" t="s">
        <v>296</v>
      </c>
      <c r="G29" s="3" t="s">
        <v>296</v>
      </c>
      <c r="H29" s="3" t="s">
        <v>296</v>
      </c>
      <c r="I29" s="3" t="s">
        <v>231</v>
      </c>
      <c r="J29" s="7" t="s">
        <v>324</v>
      </c>
      <c r="K29" s="9">
        <v>49691.715297089999</v>
      </c>
    </row>
    <row r="30" spans="1:11" ht="17" x14ac:dyDescent="0.2">
      <c r="A30" s="3" t="s">
        <v>37</v>
      </c>
      <c r="B30" s="3" t="s">
        <v>166</v>
      </c>
      <c r="C30" s="3" t="s">
        <v>303</v>
      </c>
      <c r="D30" s="4"/>
      <c r="E30" s="3" t="s">
        <v>296</v>
      </c>
      <c r="F30" s="3" t="s">
        <v>296</v>
      </c>
      <c r="G30" s="3" t="s">
        <v>297</v>
      </c>
      <c r="H30" s="3" t="s">
        <v>10</v>
      </c>
      <c r="I30" s="3" t="s">
        <v>230</v>
      </c>
      <c r="J30" s="7" t="s">
        <v>321</v>
      </c>
      <c r="K30" s="9">
        <v>467.88899409182</v>
      </c>
    </row>
    <row r="31" spans="1:11" ht="17" x14ac:dyDescent="0.2">
      <c r="A31" s="3" t="s">
        <v>38</v>
      </c>
      <c r="B31" s="3" t="s">
        <v>166</v>
      </c>
      <c r="C31" s="3" t="s">
        <v>304</v>
      </c>
      <c r="D31" s="4"/>
      <c r="E31" s="3" t="s">
        <v>297</v>
      </c>
      <c r="F31" s="3" t="s">
        <v>10</v>
      </c>
      <c r="G31" s="3" t="s">
        <v>297</v>
      </c>
      <c r="H31" s="3" t="s">
        <v>10</v>
      </c>
      <c r="I31" s="3" t="s">
        <v>10</v>
      </c>
      <c r="J31" s="7" t="s">
        <v>329</v>
      </c>
      <c r="K31" s="3" t="s">
        <v>10</v>
      </c>
    </row>
    <row r="32" spans="1:11" ht="17" x14ac:dyDescent="0.2">
      <c r="A32" s="3" t="s">
        <v>39</v>
      </c>
      <c r="B32" s="3" t="s">
        <v>166</v>
      </c>
      <c r="C32" s="3" t="s">
        <v>304</v>
      </c>
      <c r="D32" s="4"/>
      <c r="E32" s="3" t="s">
        <v>296</v>
      </c>
      <c r="F32" s="3" t="s">
        <v>296</v>
      </c>
      <c r="G32" s="3" t="s">
        <v>296</v>
      </c>
      <c r="H32" s="3" t="s">
        <v>296</v>
      </c>
      <c r="I32" s="3" t="s">
        <v>235</v>
      </c>
      <c r="J32" s="7" t="s">
        <v>323</v>
      </c>
      <c r="K32" s="9">
        <v>1276.58219788615</v>
      </c>
    </row>
    <row r="33" spans="1:11" ht="17" x14ac:dyDescent="0.2">
      <c r="A33" s="3" t="s">
        <v>40</v>
      </c>
      <c r="B33" s="3" t="s">
        <v>166</v>
      </c>
      <c r="C33" s="3" t="s">
        <v>304</v>
      </c>
      <c r="D33" s="4"/>
      <c r="E33" s="3" t="s">
        <v>296</v>
      </c>
      <c r="F33" s="3" t="s">
        <v>296</v>
      </c>
      <c r="G33" s="3" t="s">
        <v>297</v>
      </c>
      <c r="H33" s="3" t="s">
        <v>10</v>
      </c>
      <c r="I33" s="3" t="s">
        <v>237</v>
      </c>
      <c r="J33" s="7" t="s">
        <v>339</v>
      </c>
      <c r="K33" s="9">
        <v>1099.8946652331899</v>
      </c>
    </row>
    <row r="34" spans="1:11" ht="17" x14ac:dyDescent="0.2">
      <c r="A34" s="3" t="s">
        <v>41</v>
      </c>
      <c r="B34" s="3" t="s">
        <v>166</v>
      </c>
      <c r="C34" s="3" t="s">
        <v>304</v>
      </c>
      <c r="D34" s="4"/>
      <c r="E34" s="3" t="s">
        <v>296</v>
      </c>
      <c r="F34" s="3" t="s">
        <v>296</v>
      </c>
      <c r="G34" s="3" t="s">
        <v>296</v>
      </c>
      <c r="H34" s="3" t="s">
        <v>296</v>
      </c>
      <c r="I34" s="3" t="s">
        <v>238</v>
      </c>
      <c r="J34" s="7" t="s">
        <v>337</v>
      </c>
      <c r="K34" s="9">
        <v>2466.4420279086798</v>
      </c>
    </row>
    <row r="35" spans="1:11" ht="17" x14ac:dyDescent="0.2">
      <c r="A35" s="3" t="s">
        <v>42</v>
      </c>
      <c r="B35" s="3" t="s">
        <v>166</v>
      </c>
      <c r="C35" s="3" t="s">
        <v>304</v>
      </c>
      <c r="D35" s="4"/>
      <c r="E35" s="3" t="s">
        <v>296</v>
      </c>
      <c r="F35" s="3" t="s">
        <v>297</v>
      </c>
      <c r="G35" s="3" t="s">
        <v>297</v>
      </c>
      <c r="H35" s="3" t="s">
        <v>10</v>
      </c>
      <c r="I35" s="3" t="s">
        <v>239</v>
      </c>
      <c r="J35" s="7" t="s">
        <v>347</v>
      </c>
      <c r="K35" s="10">
        <v>33.116460445065499</v>
      </c>
    </row>
    <row r="36" spans="1:11" ht="17" x14ac:dyDescent="0.2">
      <c r="A36" s="3" t="s">
        <v>43</v>
      </c>
      <c r="B36" s="3" t="s">
        <v>166</v>
      </c>
      <c r="C36" s="3" t="s">
        <v>304</v>
      </c>
      <c r="D36" s="4"/>
      <c r="E36" s="3" t="s">
        <v>296</v>
      </c>
      <c r="F36" s="3" t="s">
        <v>296</v>
      </c>
      <c r="G36" s="3" t="s">
        <v>297</v>
      </c>
      <c r="H36" s="3" t="s">
        <v>10</v>
      </c>
      <c r="I36" s="3" t="s">
        <v>236</v>
      </c>
      <c r="J36" s="7" t="s">
        <v>349</v>
      </c>
      <c r="K36" s="9">
        <v>529.82333577378904</v>
      </c>
    </row>
    <row r="37" spans="1:11" ht="17" x14ac:dyDescent="0.2">
      <c r="A37" s="3" t="s">
        <v>44</v>
      </c>
      <c r="B37" s="3" t="s">
        <v>166</v>
      </c>
      <c r="C37" s="3" t="s">
        <v>304</v>
      </c>
      <c r="D37" s="4"/>
      <c r="E37" s="3" t="s">
        <v>296</v>
      </c>
      <c r="F37" s="3" t="s">
        <v>296</v>
      </c>
      <c r="G37" s="3" t="s">
        <v>297</v>
      </c>
      <c r="H37" s="3" t="s">
        <v>10</v>
      </c>
      <c r="I37" s="3" t="s">
        <v>240</v>
      </c>
      <c r="J37" s="7" t="s">
        <v>356</v>
      </c>
      <c r="K37" s="9">
        <v>2487.6239260017101</v>
      </c>
    </row>
    <row r="38" spans="1:11" ht="17" x14ac:dyDescent="0.2">
      <c r="A38" s="3" t="s">
        <v>45</v>
      </c>
      <c r="B38" s="3" t="s">
        <v>166</v>
      </c>
      <c r="C38" s="3" t="s">
        <v>304</v>
      </c>
      <c r="D38" s="4"/>
      <c r="E38" s="3" t="s">
        <v>296</v>
      </c>
      <c r="F38" s="3" t="s">
        <v>297</v>
      </c>
      <c r="G38" s="3" t="s">
        <v>297</v>
      </c>
      <c r="H38" s="3" t="s">
        <v>10</v>
      </c>
      <c r="I38" s="3" t="s">
        <v>10</v>
      </c>
      <c r="J38" s="7" t="s">
        <v>357</v>
      </c>
      <c r="K38" s="3">
        <v>0.31</v>
      </c>
    </row>
    <row r="39" spans="1:11" ht="17" x14ac:dyDescent="0.2">
      <c r="A39" s="3" t="s">
        <v>46</v>
      </c>
      <c r="B39" s="3" t="s">
        <v>166</v>
      </c>
      <c r="C39" s="3" t="s">
        <v>304</v>
      </c>
      <c r="D39" s="4"/>
      <c r="E39" s="3" t="s">
        <v>296</v>
      </c>
      <c r="F39" s="3" t="s">
        <v>296</v>
      </c>
      <c r="G39" s="3" t="s">
        <v>296</v>
      </c>
      <c r="H39" s="3" t="s">
        <v>296</v>
      </c>
      <c r="I39" s="3" t="s">
        <v>241</v>
      </c>
      <c r="J39" s="7" t="s">
        <v>359</v>
      </c>
      <c r="K39" s="9">
        <v>19814.0067656908</v>
      </c>
    </row>
    <row r="40" spans="1:11" ht="17" x14ac:dyDescent="0.2">
      <c r="A40" s="3" t="s">
        <v>47</v>
      </c>
      <c r="B40" s="3" t="s">
        <v>166</v>
      </c>
      <c r="C40" s="3" t="s">
        <v>304</v>
      </c>
      <c r="D40" s="4"/>
      <c r="E40" s="3" t="s">
        <v>296</v>
      </c>
      <c r="F40" s="3" t="s">
        <v>297</v>
      </c>
      <c r="G40" s="3" t="s">
        <v>297</v>
      </c>
      <c r="H40" s="3" t="s">
        <v>297</v>
      </c>
      <c r="I40" s="3" t="s">
        <v>10</v>
      </c>
      <c r="J40" s="7" t="s">
        <v>336</v>
      </c>
      <c r="K40" s="3">
        <v>5.5</v>
      </c>
    </row>
    <row r="41" spans="1:11" ht="17" x14ac:dyDescent="0.2">
      <c r="A41" s="3" t="s">
        <v>48</v>
      </c>
      <c r="B41" s="3" t="s">
        <v>166</v>
      </c>
      <c r="C41" s="3" t="s">
        <v>305</v>
      </c>
      <c r="D41" s="4"/>
      <c r="E41" s="3" t="s">
        <v>296</v>
      </c>
      <c r="F41" s="3" t="s">
        <v>296</v>
      </c>
      <c r="G41" s="3" t="s">
        <v>296</v>
      </c>
      <c r="H41" s="3" t="s">
        <v>296</v>
      </c>
      <c r="I41" s="3" t="s">
        <v>197</v>
      </c>
      <c r="J41" s="7" t="s">
        <v>353</v>
      </c>
      <c r="K41" s="9">
        <v>1245.5032395564899</v>
      </c>
    </row>
    <row r="42" spans="1:11" ht="17" x14ac:dyDescent="0.2">
      <c r="A42" s="3" t="s">
        <v>49</v>
      </c>
      <c r="B42" s="3" t="s">
        <v>166</v>
      </c>
      <c r="C42" s="3" t="s">
        <v>305</v>
      </c>
      <c r="D42" s="4"/>
      <c r="E42" s="3" t="s">
        <v>297</v>
      </c>
      <c r="F42" s="3" t="s">
        <v>10</v>
      </c>
      <c r="G42" s="3" t="s">
        <v>297</v>
      </c>
      <c r="H42" s="3" t="s">
        <v>10</v>
      </c>
      <c r="I42" s="3" t="s">
        <v>10</v>
      </c>
      <c r="J42" s="7" t="s">
        <v>348</v>
      </c>
      <c r="K42" s="3">
        <v>0.1</v>
      </c>
    </row>
    <row r="43" spans="1:11" ht="17" x14ac:dyDescent="0.2">
      <c r="A43" s="3" t="s">
        <v>50</v>
      </c>
      <c r="B43" s="3" t="s">
        <v>166</v>
      </c>
      <c r="C43" s="3" t="s">
        <v>305</v>
      </c>
      <c r="D43" s="4"/>
      <c r="E43" s="3" t="s">
        <v>296</v>
      </c>
      <c r="F43" s="3" t="s">
        <v>296</v>
      </c>
      <c r="G43" s="3" t="s">
        <v>297</v>
      </c>
      <c r="H43" s="3" t="s">
        <v>10</v>
      </c>
      <c r="I43" s="3" t="s">
        <v>198</v>
      </c>
      <c r="J43" s="7" t="s">
        <v>355</v>
      </c>
      <c r="K43" s="9">
        <v>132.98492500967501</v>
      </c>
    </row>
    <row r="44" spans="1:11" ht="34" x14ac:dyDescent="0.2">
      <c r="A44" s="3" t="s">
        <v>51</v>
      </c>
      <c r="B44" s="3" t="s">
        <v>166</v>
      </c>
      <c r="C44" s="3" t="s">
        <v>305</v>
      </c>
      <c r="D44" s="4"/>
      <c r="E44" s="3" t="s">
        <v>296</v>
      </c>
      <c r="F44" s="3" t="s">
        <v>297</v>
      </c>
      <c r="G44" s="3" t="s">
        <v>296</v>
      </c>
      <c r="H44" s="3" t="s">
        <v>296</v>
      </c>
      <c r="I44" s="3" t="s">
        <v>199</v>
      </c>
      <c r="J44" s="7" t="s">
        <v>352</v>
      </c>
      <c r="K44" s="10">
        <v>33571.6657357492</v>
      </c>
    </row>
    <row r="45" spans="1:11" ht="17" x14ac:dyDescent="0.2">
      <c r="A45" s="3" t="s">
        <v>52</v>
      </c>
      <c r="B45" s="3" t="s">
        <v>166</v>
      </c>
      <c r="C45" s="3" t="s">
        <v>305</v>
      </c>
      <c r="D45" s="4"/>
      <c r="E45" s="3" t="s">
        <v>296</v>
      </c>
      <c r="F45" s="3" t="s">
        <v>297</v>
      </c>
      <c r="G45" s="3" t="s">
        <v>297</v>
      </c>
      <c r="H45" s="3" t="s">
        <v>10</v>
      </c>
      <c r="I45" s="3" t="s">
        <v>10</v>
      </c>
      <c r="J45" s="7" t="s">
        <v>351</v>
      </c>
      <c r="K45" s="3">
        <v>1.26</v>
      </c>
    </row>
    <row r="46" spans="1:11" ht="17" x14ac:dyDescent="0.2">
      <c r="A46" s="2" t="s">
        <v>53</v>
      </c>
      <c r="B46" s="3" t="s">
        <v>166</v>
      </c>
      <c r="C46" s="3" t="s">
        <v>305</v>
      </c>
      <c r="D46" s="4"/>
      <c r="E46" s="3" t="s">
        <v>296</v>
      </c>
      <c r="F46" s="3" t="s">
        <v>296</v>
      </c>
      <c r="G46" s="3" t="s">
        <v>297</v>
      </c>
      <c r="H46" s="3" t="s">
        <v>10</v>
      </c>
      <c r="I46" s="3" t="s">
        <v>200</v>
      </c>
      <c r="J46" s="7" t="s">
        <v>350</v>
      </c>
      <c r="K46" s="9">
        <v>1202.0847302499101</v>
      </c>
    </row>
    <row r="47" spans="1:11" ht="17" x14ac:dyDescent="0.2">
      <c r="A47" s="2" t="s">
        <v>54</v>
      </c>
      <c r="B47" s="3" t="s">
        <v>166</v>
      </c>
      <c r="C47" s="3" t="s">
        <v>305</v>
      </c>
      <c r="D47" s="4"/>
      <c r="E47" s="3" t="s">
        <v>296</v>
      </c>
      <c r="F47" s="3" t="s">
        <v>297</v>
      </c>
      <c r="G47" s="3" t="s">
        <v>297</v>
      </c>
      <c r="H47" s="3" t="s">
        <v>10</v>
      </c>
      <c r="I47" s="3" t="s">
        <v>10</v>
      </c>
      <c r="J47" s="7" t="s">
        <v>358</v>
      </c>
      <c r="K47" s="3">
        <v>1.59</v>
      </c>
    </row>
    <row r="48" spans="1:11" ht="17" x14ac:dyDescent="0.2">
      <c r="A48" s="3" t="s">
        <v>55</v>
      </c>
      <c r="B48" s="3" t="s">
        <v>166</v>
      </c>
      <c r="C48" s="3" t="s">
        <v>305</v>
      </c>
      <c r="D48" s="4"/>
      <c r="E48" s="3" t="s">
        <v>296</v>
      </c>
      <c r="F48" s="3" t="s">
        <v>296</v>
      </c>
      <c r="G48" s="3" t="s">
        <v>297</v>
      </c>
      <c r="H48" s="3" t="s">
        <v>10</v>
      </c>
      <c r="I48" s="3" t="s">
        <v>201</v>
      </c>
      <c r="J48" s="7" t="s">
        <v>338</v>
      </c>
      <c r="K48" s="9">
        <v>603.20893275384003</v>
      </c>
    </row>
    <row r="49" spans="1:11" ht="17" x14ac:dyDescent="0.2">
      <c r="A49" s="3" t="s">
        <v>56</v>
      </c>
      <c r="B49" s="3" t="s">
        <v>166</v>
      </c>
      <c r="C49" s="3" t="s">
        <v>305</v>
      </c>
      <c r="D49" s="4"/>
      <c r="E49" s="3" t="s">
        <v>296</v>
      </c>
      <c r="F49" s="3" t="s">
        <v>296</v>
      </c>
      <c r="G49" s="3" t="s">
        <v>296</v>
      </c>
      <c r="H49" s="3" t="s">
        <v>296</v>
      </c>
      <c r="I49" s="3" t="s">
        <v>202</v>
      </c>
      <c r="J49" s="7" t="s">
        <v>361</v>
      </c>
      <c r="K49" s="9">
        <v>3975.3473497094001</v>
      </c>
    </row>
    <row r="50" spans="1:11" ht="17" x14ac:dyDescent="0.2">
      <c r="A50" s="3" t="s">
        <v>57</v>
      </c>
      <c r="B50" s="3" t="s">
        <v>166</v>
      </c>
      <c r="C50" s="3" t="s">
        <v>305</v>
      </c>
      <c r="D50" s="4"/>
      <c r="E50" s="3" t="s">
        <v>297</v>
      </c>
      <c r="F50" s="3" t="s">
        <v>10</v>
      </c>
      <c r="G50" s="3" t="s">
        <v>297</v>
      </c>
      <c r="H50" s="3" t="s">
        <v>10</v>
      </c>
      <c r="I50" s="3" t="s">
        <v>10</v>
      </c>
      <c r="J50" s="7" t="s">
        <v>363</v>
      </c>
      <c r="K50" s="3" t="s">
        <v>10</v>
      </c>
    </row>
    <row r="51" spans="1:11" ht="17" x14ac:dyDescent="0.2">
      <c r="A51" s="2" t="s">
        <v>58</v>
      </c>
      <c r="B51" s="3" t="s">
        <v>166</v>
      </c>
      <c r="C51" s="3" t="s">
        <v>305</v>
      </c>
      <c r="D51" s="4"/>
      <c r="E51" s="3" t="s">
        <v>296</v>
      </c>
      <c r="F51" s="3" t="s">
        <v>296</v>
      </c>
      <c r="G51" s="3" t="s">
        <v>297</v>
      </c>
      <c r="H51" s="3" t="s">
        <v>10</v>
      </c>
      <c r="I51" s="3" t="s">
        <v>203</v>
      </c>
      <c r="J51" s="7" t="s">
        <v>412</v>
      </c>
      <c r="K51" s="9">
        <v>2435.9097178049501</v>
      </c>
    </row>
    <row r="52" spans="1:11" ht="17" x14ac:dyDescent="0.2">
      <c r="A52" s="2" t="s">
        <v>59</v>
      </c>
      <c r="B52" s="3" t="s">
        <v>166</v>
      </c>
      <c r="C52" s="3" t="s">
        <v>305</v>
      </c>
      <c r="D52" s="4"/>
      <c r="E52" s="3" t="s">
        <v>297</v>
      </c>
      <c r="F52" s="3" t="s">
        <v>10</v>
      </c>
      <c r="G52" s="3" t="s">
        <v>296</v>
      </c>
      <c r="H52" s="3" t="s">
        <v>10</v>
      </c>
      <c r="I52" s="3" t="s">
        <v>10</v>
      </c>
      <c r="J52" s="7" t="s">
        <v>424</v>
      </c>
      <c r="K52" s="3">
        <v>0.56999999999999995</v>
      </c>
    </row>
    <row r="53" spans="1:11" ht="17" x14ac:dyDescent="0.2">
      <c r="A53" s="2" t="s">
        <v>60</v>
      </c>
      <c r="B53" s="3" t="s">
        <v>166</v>
      </c>
      <c r="C53" s="3" t="s">
        <v>305</v>
      </c>
      <c r="D53" s="4"/>
      <c r="E53" s="3" t="s">
        <v>296</v>
      </c>
      <c r="F53" s="3" t="s">
        <v>296</v>
      </c>
      <c r="G53" s="3" t="s">
        <v>296</v>
      </c>
      <c r="H53" s="3" t="s">
        <v>296</v>
      </c>
      <c r="I53" s="3" t="s">
        <v>204</v>
      </c>
      <c r="J53" s="7" t="s">
        <v>433</v>
      </c>
      <c r="K53" s="9">
        <v>2802.6225484274401</v>
      </c>
    </row>
    <row r="54" spans="1:11" ht="17" x14ac:dyDescent="0.2">
      <c r="A54" s="3" t="s">
        <v>61</v>
      </c>
      <c r="B54" s="3" t="s">
        <v>166</v>
      </c>
      <c r="C54" s="3" t="s">
        <v>305</v>
      </c>
      <c r="D54" s="4"/>
      <c r="E54" s="3" t="s">
        <v>297</v>
      </c>
      <c r="F54" s="3" t="s">
        <v>10</v>
      </c>
      <c r="G54" s="3" t="s">
        <v>297</v>
      </c>
      <c r="H54" s="3" t="s">
        <v>10</v>
      </c>
      <c r="I54" s="3" t="s">
        <v>10</v>
      </c>
      <c r="J54" s="7" t="s">
        <v>432</v>
      </c>
      <c r="K54" s="3" t="s">
        <v>10</v>
      </c>
    </row>
    <row r="55" spans="1:11" ht="17" x14ac:dyDescent="0.2">
      <c r="A55" s="2" t="s">
        <v>62</v>
      </c>
      <c r="B55" s="3" t="s">
        <v>166</v>
      </c>
      <c r="C55" s="3" t="s">
        <v>305</v>
      </c>
      <c r="D55" s="4"/>
      <c r="E55" s="3" t="s">
        <v>296</v>
      </c>
      <c r="F55" s="3" t="s">
        <v>296</v>
      </c>
      <c r="G55" s="3" t="s">
        <v>297</v>
      </c>
      <c r="H55" s="3" t="s">
        <v>10</v>
      </c>
      <c r="I55" s="3" t="s">
        <v>205</v>
      </c>
      <c r="J55" s="7" t="s">
        <v>431</v>
      </c>
      <c r="K55" s="9">
        <v>642.05872519874299</v>
      </c>
    </row>
    <row r="56" spans="1:11" ht="17" x14ac:dyDescent="0.2">
      <c r="A56" s="2" t="s">
        <v>63</v>
      </c>
      <c r="B56" s="3" t="s">
        <v>166</v>
      </c>
      <c r="C56" s="3" t="s">
        <v>305</v>
      </c>
      <c r="D56" s="4"/>
      <c r="E56" s="3" t="s">
        <v>296</v>
      </c>
      <c r="F56" s="3" t="s">
        <v>296</v>
      </c>
      <c r="G56" s="3" t="s">
        <v>296</v>
      </c>
      <c r="H56" s="3" t="s">
        <v>296</v>
      </c>
      <c r="I56" s="3" t="s">
        <v>207</v>
      </c>
      <c r="J56" s="7" t="s">
        <v>421</v>
      </c>
      <c r="K56" s="9">
        <v>5206.8721242824004</v>
      </c>
    </row>
    <row r="57" spans="1:11" ht="17" x14ac:dyDescent="0.2">
      <c r="A57" s="2" t="s">
        <v>64</v>
      </c>
      <c r="B57" s="3" t="s">
        <v>166</v>
      </c>
      <c r="C57" s="3" t="s">
        <v>305</v>
      </c>
      <c r="D57" s="4"/>
      <c r="E57" s="3" t="s">
        <v>296</v>
      </c>
      <c r="F57" s="3" t="s">
        <v>296</v>
      </c>
      <c r="G57" s="3" t="s">
        <v>296</v>
      </c>
      <c r="H57" s="3" t="s">
        <v>296</v>
      </c>
      <c r="I57" s="3" t="s">
        <v>206</v>
      </c>
      <c r="J57" s="7" t="s">
        <v>429</v>
      </c>
      <c r="K57" s="9">
        <v>954.02404517916705</v>
      </c>
    </row>
    <row r="58" spans="1:11" ht="17" x14ac:dyDescent="0.2">
      <c r="A58" s="2" t="s">
        <v>65</v>
      </c>
      <c r="B58" s="3" t="s">
        <v>166</v>
      </c>
      <c r="C58" s="3" t="s">
        <v>305</v>
      </c>
      <c r="D58" s="4"/>
      <c r="E58" s="3" t="s">
        <v>296</v>
      </c>
      <c r="F58" s="3" t="s">
        <v>296</v>
      </c>
      <c r="G58" s="3" t="s">
        <v>296</v>
      </c>
      <c r="H58" s="3" t="s">
        <v>296</v>
      </c>
      <c r="I58" s="3" t="s">
        <v>209</v>
      </c>
      <c r="J58" s="7" t="s">
        <v>423</v>
      </c>
      <c r="K58" s="9">
        <v>3958.8283289748802</v>
      </c>
    </row>
    <row r="59" spans="1:11" ht="17" x14ac:dyDescent="0.2">
      <c r="A59" s="2" t="s">
        <v>66</v>
      </c>
      <c r="B59" s="3" t="s">
        <v>166</v>
      </c>
      <c r="C59" s="3" t="s">
        <v>305</v>
      </c>
      <c r="D59" s="4"/>
      <c r="E59" s="3" t="s">
        <v>296</v>
      </c>
      <c r="F59" s="3" t="s">
        <v>296</v>
      </c>
      <c r="G59" s="3" t="s">
        <v>296</v>
      </c>
      <c r="H59" s="3" t="s">
        <v>296</v>
      </c>
      <c r="I59" s="3" t="s">
        <v>208</v>
      </c>
      <c r="J59" s="7" t="s">
        <v>425</v>
      </c>
      <c r="K59" s="9">
        <v>1645.04163893396</v>
      </c>
    </row>
    <row r="60" spans="1:11" ht="17" x14ac:dyDescent="0.2">
      <c r="A60" s="2" t="s">
        <v>67</v>
      </c>
      <c r="B60" s="3" t="s">
        <v>166</v>
      </c>
      <c r="C60" s="3" t="s">
        <v>305</v>
      </c>
      <c r="D60" s="4"/>
      <c r="E60" s="3" t="s">
        <v>296</v>
      </c>
      <c r="F60" s="3" t="s">
        <v>297</v>
      </c>
      <c r="G60" s="3" t="s">
        <v>297</v>
      </c>
      <c r="H60" s="3" t="s">
        <v>10</v>
      </c>
      <c r="I60" s="3" t="s">
        <v>10</v>
      </c>
      <c r="J60" s="7" t="s">
        <v>435</v>
      </c>
      <c r="K60" s="3">
        <v>2.44</v>
      </c>
    </row>
    <row r="61" spans="1:11" ht="17" x14ac:dyDescent="0.2">
      <c r="A61" s="2" t="s">
        <v>68</v>
      </c>
      <c r="B61" s="3" t="s">
        <v>166</v>
      </c>
      <c r="C61" s="3" t="s">
        <v>305</v>
      </c>
      <c r="D61" s="4"/>
      <c r="E61" s="3" t="s">
        <v>296</v>
      </c>
      <c r="F61" s="3" t="s">
        <v>296</v>
      </c>
      <c r="G61" s="3" t="s">
        <v>296</v>
      </c>
      <c r="H61" s="3" t="s">
        <v>296</v>
      </c>
      <c r="I61" s="3" t="s">
        <v>210</v>
      </c>
      <c r="J61" s="7" t="s">
        <v>422</v>
      </c>
      <c r="K61" s="9">
        <v>18123.151949163599</v>
      </c>
    </row>
    <row r="62" spans="1:11" ht="17" x14ac:dyDescent="0.2">
      <c r="A62" s="2" t="s">
        <v>69</v>
      </c>
      <c r="B62" s="3" t="s">
        <v>166</v>
      </c>
      <c r="C62" s="3" t="s">
        <v>305</v>
      </c>
      <c r="D62" s="4"/>
      <c r="E62" s="3" t="s">
        <v>296</v>
      </c>
      <c r="F62" s="3" t="s">
        <v>296</v>
      </c>
      <c r="G62" s="3" t="s">
        <v>297</v>
      </c>
      <c r="H62" s="3" t="s">
        <v>10</v>
      </c>
      <c r="I62" s="3" t="s">
        <v>211</v>
      </c>
      <c r="J62" s="7" t="s">
        <v>416</v>
      </c>
      <c r="K62" s="9">
        <v>2916.8050621212301</v>
      </c>
    </row>
    <row r="63" spans="1:11" ht="17" x14ac:dyDescent="0.2">
      <c r="A63" s="2" t="s">
        <v>70</v>
      </c>
      <c r="B63" s="3" t="s">
        <v>166</v>
      </c>
      <c r="C63" s="3" t="s">
        <v>305</v>
      </c>
      <c r="D63" s="4"/>
      <c r="E63" s="3" t="s">
        <v>296</v>
      </c>
      <c r="F63" s="3" t="s">
        <v>296</v>
      </c>
      <c r="G63" s="3" t="s">
        <v>296</v>
      </c>
      <c r="H63" s="3" t="s">
        <v>296</v>
      </c>
      <c r="I63" s="3" t="s">
        <v>212</v>
      </c>
      <c r="J63" s="7" t="s">
        <v>430</v>
      </c>
      <c r="K63" s="9">
        <v>56683.168633700603</v>
      </c>
    </row>
    <row r="64" spans="1:11" ht="17" x14ac:dyDescent="0.2">
      <c r="A64" s="3" t="s">
        <v>71</v>
      </c>
      <c r="B64" s="3" t="s">
        <v>166</v>
      </c>
      <c r="C64" s="3" t="s">
        <v>305</v>
      </c>
      <c r="D64" s="4"/>
      <c r="E64" s="3" t="s">
        <v>296</v>
      </c>
      <c r="F64" s="3" t="s">
        <v>296</v>
      </c>
      <c r="G64" s="3" t="s">
        <v>296</v>
      </c>
      <c r="H64" s="3" t="s">
        <v>296</v>
      </c>
      <c r="I64" s="3" t="s">
        <v>213</v>
      </c>
      <c r="J64" s="7" t="s">
        <v>427</v>
      </c>
      <c r="K64" s="9">
        <v>2914.6824778443502</v>
      </c>
    </row>
    <row r="65" spans="1:11" ht="17" x14ac:dyDescent="0.2">
      <c r="A65" s="3" t="s">
        <v>72</v>
      </c>
      <c r="B65" s="3" t="s">
        <v>166</v>
      </c>
      <c r="C65" s="3" t="s">
        <v>305</v>
      </c>
      <c r="D65" s="4"/>
      <c r="E65" s="3" t="s">
        <v>296</v>
      </c>
      <c r="F65" s="3" t="s">
        <v>297</v>
      </c>
      <c r="G65" s="3" t="s">
        <v>297</v>
      </c>
      <c r="H65" s="3" t="s">
        <v>10</v>
      </c>
      <c r="I65" s="3" t="s">
        <v>214</v>
      </c>
      <c r="J65" s="7" t="s">
        <v>442</v>
      </c>
      <c r="K65" s="9">
        <v>237.419230173844</v>
      </c>
    </row>
    <row r="66" spans="1:11" ht="17" x14ac:dyDescent="0.2">
      <c r="A66" s="3" t="s">
        <v>73</v>
      </c>
      <c r="B66" s="3" t="s">
        <v>166</v>
      </c>
      <c r="C66" s="3" t="s">
        <v>305</v>
      </c>
      <c r="D66" s="4"/>
      <c r="E66" s="3" t="s">
        <v>296</v>
      </c>
      <c r="F66" s="3" t="s">
        <v>297</v>
      </c>
      <c r="G66" s="3" t="s">
        <v>296</v>
      </c>
      <c r="H66" s="3" t="s">
        <v>297</v>
      </c>
      <c r="I66" s="3" t="s">
        <v>10</v>
      </c>
      <c r="J66" s="7" t="s">
        <v>438</v>
      </c>
      <c r="K66" s="3">
        <v>1.61</v>
      </c>
    </row>
    <row r="67" spans="1:11" ht="17" x14ac:dyDescent="0.2">
      <c r="A67" s="3" t="s">
        <v>74</v>
      </c>
      <c r="B67" s="3" t="s">
        <v>166</v>
      </c>
      <c r="C67" s="3" t="s">
        <v>305</v>
      </c>
      <c r="D67" s="4"/>
      <c r="E67" s="3" t="s">
        <v>296</v>
      </c>
      <c r="F67" s="3" t="s">
        <v>296</v>
      </c>
      <c r="G67" s="3" t="s">
        <v>297</v>
      </c>
      <c r="H67" s="3" t="s">
        <v>10</v>
      </c>
      <c r="I67" s="3" t="s">
        <v>215</v>
      </c>
      <c r="J67" s="7" t="s">
        <v>418</v>
      </c>
      <c r="K67" s="10">
        <v>205.35557080987101</v>
      </c>
    </row>
    <row r="68" spans="1:11" ht="17" x14ac:dyDescent="0.2">
      <c r="A68" s="3" t="s">
        <v>75</v>
      </c>
      <c r="B68" s="3" t="s">
        <v>166</v>
      </c>
      <c r="C68" s="3" t="s">
        <v>306</v>
      </c>
      <c r="D68" s="4"/>
      <c r="E68" s="3" t="s">
        <v>296</v>
      </c>
      <c r="F68" s="3" t="s">
        <v>296</v>
      </c>
      <c r="G68" s="3" t="s">
        <v>297</v>
      </c>
      <c r="H68" s="3" t="s">
        <v>10</v>
      </c>
      <c r="I68" s="3" t="s">
        <v>242</v>
      </c>
      <c r="J68" s="7" t="s">
        <v>440</v>
      </c>
      <c r="K68" s="9">
        <v>489.12550187189902</v>
      </c>
    </row>
    <row r="69" spans="1:11" ht="17" x14ac:dyDescent="0.2">
      <c r="A69" s="3" t="s">
        <v>76</v>
      </c>
      <c r="B69" s="3" t="s">
        <v>166</v>
      </c>
      <c r="C69" s="3" t="s">
        <v>306</v>
      </c>
      <c r="D69" s="4"/>
      <c r="E69" s="3" t="s">
        <v>296</v>
      </c>
      <c r="F69" s="3" t="s">
        <v>296</v>
      </c>
      <c r="G69" s="3" t="s">
        <v>297</v>
      </c>
      <c r="H69" s="3" t="s">
        <v>10</v>
      </c>
      <c r="I69" s="3" t="s">
        <v>243</v>
      </c>
      <c r="J69" s="7" t="s">
        <v>439</v>
      </c>
      <c r="K69" s="9">
        <v>653.925479681723</v>
      </c>
    </row>
    <row r="70" spans="1:11" ht="17" x14ac:dyDescent="0.2">
      <c r="A70" s="3" t="s">
        <v>77</v>
      </c>
      <c r="B70" s="3" t="s">
        <v>166</v>
      </c>
      <c r="C70" s="3" t="s">
        <v>306</v>
      </c>
      <c r="D70" s="4"/>
      <c r="E70" s="3" t="s">
        <v>296</v>
      </c>
      <c r="F70" s="3" t="s">
        <v>296</v>
      </c>
      <c r="G70" s="3" t="s">
        <v>296</v>
      </c>
      <c r="H70" s="3" t="s">
        <v>296</v>
      </c>
      <c r="I70" s="3" t="s">
        <v>244</v>
      </c>
      <c r="J70" s="7" t="s">
        <v>418</v>
      </c>
      <c r="K70" s="9">
        <v>62982.738163752299</v>
      </c>
    </row>
    <row r="71" spans="1:11" ht="17" x14ac:dyDescent="0.2">
      <c r="A71" s="3" t="s">
        <v>78</v>
      </c>
      <c r="B71" s="3" t="s">
        <v>166</v>
      </c>
      <c r="C71" s="3" t="s">
        <v>306</v>
      </c>
      <c r="D71" s="4"/>
      <c r="E71" s="3" t="s">
        <v>297</v>
      </c>
      <c r="F71" s="3" t="s">
        <v>10</v>
      </c>
      <c r="G71" s="3" t="s">
        <v>297</v>
      </c>
      <c r="H71" s="3" t="s">
        <v>10</v>
      </c>
      <c r="I71" s="3" t="s">
        <v>10</v>
      </c>
      <c r="J71" s="7" t="s">
        <v>441</v>
      </c>
      <c r="K71" s="3">
        <v>0.44</v>
      </c>
    </row>
    <row r="72" spans="1:11" ht="17" x14ac:dyDescent="0.2">
      <c r="A72" s="3" t="s">
        <v>79</v>
      </c>
      <c r="B72" s="3" t="s">
        <v>166</v>
      </c>
      <c r="C72" s="3" t="s">
        <v>306</v>
      </c>
      <c r="D72" s="4"/>
      <c r="E72" s="3" t="s">
        <v>296</v>
      </c>
      <c r="F72" s="3" t="s">
        <v>296</v>
      </c>
      <c r="G72" s="3" t="s">
        <v>297</v>
      </c>
      <c r="H72" s="3" t="s">
        <v>10</v>
      </c>
      <c r="I72" s="3" t="s">
        <v>245</v>
      </c>
      <c r="J72" s="7" t="s">
        <v>417</v>
      </c>
      <c r="K72" s="9">
        <v>1357.8919948616699</v>
      </c>
    </row>
    <row r="73" spans="1:11" ht="17" x14ac:dyDescent="0.2">
      <c r="A73" s="3" t="s">
        <v>80</v>
      </c>
      <c r="B73" s="3" t="s">
        <v>166</v>
      </c>
      <c r="C73" s="3" t="s">
        <v>307</v>
      </c>
      <c r="D73" s="4"/>
      <c r="E73" s="3" t="s">
        <v>297</v>
      </c>
      <c r="F73" s="3" t="s">
        <v>10</v>
      </c>
      <c r="G73" s="3" t="s">
        <v>297</v>
      </c>
      <c r="H73" s="3" t="s">
        <v>10</v>
      </c>
      <c r="I73" s="3" t="s">
        <v>10</v>
      </c>
      <c r="J73" s="7" t="s">
        <v>437</v>
      </c>
      <c r="K73" s="3" t="s">
        <v>10</v>
      </c>
    </row>
    <row r="74" spans="1:11" ht="17" x14ac:dyDescent="0.2">
      <c r="A74" s="3" t="s">
        <v>81</v>
      </c>
      <c r="B74" s="3" t="s">
        <v>166</v>
      </c>
      <c r="C74" s="3" t="s">
        <v>307</v>
      </c>
      <c r="D74" s="4"/>
      <c r="E74" s="3" t="s">
        <v>296</v>
      </c>
      <c r="F74" s="3" t="s">
        <v>296</v>
      </c>
      <c r="G74" s="3" t="s">
        <v>296</v>
      </c>
      <c r="H74" s="3" t="s">
        <v>296</v>
      </c>
      <c r="I74" s="3" t="s">
        <v>246</v>
      </c>
      <c r="J74" s="7" t="s">
        <v>419</v>
      </c>
      <c r="K74" s="9">
        <v>4506.7285256904497</v>
      </c>
    </row>
    <row r="75" spans="1:11" ht="17" x14ac:dyDescent="0.2">
      <c r="A75" s="3" t="s">
        <v>82</v>
      </c>
      <c r="B75" s="3" t="s">
        <v>166</v>
      </c>
      <c r="C75" s="3" t="s">
        <v>308</v>
      </c>
      <c r="D75" s="4"/>
      <c r="E75" s="3" t="s">
        <v>296</v>
      </c>
      <c r="F75" s="3" t="s">
        <v>296</v>
      </c>
      <c r="G75" s="3" t="s">
        <v>297</v>
      </c>
      <c r="H75" s="3" t="s">
        <v>10</v>
      </c>
      <c r="I75" s="3" t="s">
        <v>247</v>
      </c>
      <c r="J75" s="7" t="s">
        <v>420</v>
      </c>
      <c r="K75" s="9">
        <v>269.63527692781003</v>
      </c>
    </row>
    <row r="76" spans="1:11" ht="17" x14ac:dyDescent="0.2">
      <c r="A76" s="3" t="s">
        <v>83</v>
      </c>
      <c r="B76" s="3" t="s">
        <v>166</v>
      </c>
      <c r="C76" s="3" t="s">
        <v>308</v>
      </c>
      <c r="D76" s="4"/>
      <c r="E76" s="3" t="s">
        <v>296</v>
      </c>
      <c r="F76" s="3" t="s">
        <v>296</v>
      </c>
      <c r="G76" s="3" t="s">
        <v>297</v>
      </c>
      <c r="H76" s="3" t="s">
        <v>10</v>
      </c>
      <c r="I76" s="3" t="s">
        <v>248</v>
      </c>
      <c r="J76" s="7" t="s">
        <v>452</v>
      </c>
      <c r="K76" s="9">
        <v>1130.62112243046</v>
      </c>
    </row>
    <row r="77" spans="1:11" ht="17" x14ac:dyDescent="0.2">
      <c r="A77" s="3" t="s">
        <v>84</v>
      </c>
      <c r="B77" s="3" t="s">
        <v>166</v>
      </c>
      <c r="C77" s="3" t="s">
        <v>308</v>
      </c>
      <c r="D77" s="4"/>
      <c r="E77" s="3" t="s">
        <v>297</v>
      </c>
      <c r="F77" s="3" t="s">
        <v>10</v>
      </c>
      <c r="G77" s="3" t="s">
        <v>297</v>
      </c>
      <c r="H77" s="3" t="s">
        <v>10</v>
      </c>
      <c r="I77" s="3" t="s">
        <v>10</v>
      </c>
      <c r="J77" s="7" t="s">
        <v>469</v>
      </c>
      <c r="K77" s="3">
        <v>0.16</v>
      </c>
    </row>
    <row r="78" spans="1:11" ht="17" x14ac:dyDescent="0.2">
      <c r="A78" s="3" t="s">
        <v>85</v>
      </c>
      <c r="B78" s="3" t="s">
        <v>166</v>
      </c>
      <c r="C78" s="3" t="s">
        <v>308</v>
      </c>
      <c r="D78" s="4"/>
      <c r="E78" s="3" t="s">
        <v>297</v>
      </c>
      <c r="F78" s="3" t="s">
        <v>10</v>
      </c>
      <c r="G78" s="3" t="s">
        <v>297</v>
      </c>
      <c r="H78" s="3" t="s">
        <v>10</v>
      </c>
      <c r="I78" s="3" t="s">
        <v>10</v>
      </c>
      <c r="J78" s="7" t="s">
        <v>470</v>
      </c>
      <c r="K78" s="8" t="s">
        <v>10</v>
      </c>
    </row>
    <row r="79" spans="1:11" ht="17" x14ac:dyDescent="0.2">
      <c r="A79" s="3" t="s">
        <v>86</v>
      </c>
      <c r="B79" s="3" t="s">
        <v>166</v>
      </c>
      <c r="C79" s="3" t="s">
        <v>308</v>
      </c>
      <c r="D79" s="4"/>
      <c r="E79" s="3" t="s">
        <v>296</v>
      </c>
      <c r="F79" s="3" t="s">
        <v>296</v>
      </c>
      <c r="G79" s="3" t="s">
        <v>296</v>
      </c>
      <c r="H79" s="3" t="s">
        <v>296</v>
      </c>
      <c r="I79" s="3" t="s">
        <v>249</v>
      </c>
      <c r="J79" s="7" t="s">
        <v>453</v>
      </c>
      <c r="K79" s="9">
        <v>2960.2639160918302</v>
      </c>
    </row>
    <row r="80" spans="1:11" ht="17" x14ac:dyDescent="0.2">
      <c r="A80" s="3" t="s">
        <v>87</v>
      </c>
      <c r="B80" s="3" t="s">
        <v>166</v>
      </c>
      <c r="C80" s="3" t="s">
        <v>308</v>
      </c>
      <c r="D80" s="4"/>
      <c r="E80" s="3" t="s">
        <v>296</v>
      </c>
      <c r="F80" s="3" t="s">
        <v>296</v>
      </c>
      <c r="G80" s="3" t="s">
        <v>296</v>
      </c>
      <c r="H80" s="3" t="s">
        <v>296</v>
      </c>
      <c r="I80" s="3" t="s">
        <v>250</v>
      </c>
      <c r="J80" s="7" t="s">
        <v>455</v>
      </c>
      <c r="K80" s="9">
        <v>1692.9028754763699</v>
      </c>
    </row>
    <row r="81" spans="1:11" ht="17" x14ac:dyDescent="0.2">
      <c r="A81" s="3" t="s">
        <v>88</v>
      </c>
      <c r="B81" s="3" t="s">
        <v>166</v>
      </c>
      <c r="C81" s="3" t="s">
        <v>308</v>
      </c>
      <c r="D81" s="4"/>
      <c r="E81" s="3" t="s">
        <v>296</v>
      </c>
      <c r="F81" s="3" t="s">
        <v>296</v>
      </c>
      <c r="G81" s="3" t="s">
        <v>296</v>
      </c>
      <c r="H81" s="3" t="s">
        <v>296</v>
      </c>
      <c r="I81" s="3" t="s">
        <v>251</v>
      </c>
      <c r="J81" s="7" t="s">
        <v>447</v>
      </c>
      <c r="K81" s="9">
        <v>2576.2752443119298</v>
      </c>
    </row>
    <row r="82" spans="1:11" ht="17" x14ac:dyDescent="0.2">
      <c r="A82" s="3" t="s">
        <v>89</v>
      </c>
      <c r="B82" s="3" t="s">
        <v>166</v>
      </c>
      <c r="C82" s="3" t="s">
        <v>308</v>
      </c>
      <c r="D82" s="4"/>
      <c r="E82" s="3" t="s">
        <v>296</v>
      </c>
      <c r="F82" s="3" t="s">
        <v>296</v>
      </c>
      <c r="G82" s="3" t="s">
        <v>296</v>
      </c>
      <c r="H82" s="3" t="s">
        <v>296</v>
      </c>
      <c r="I82" s="3" t="s">
        <v>252</v>
      </c>
      <c r="J82" s="7" t="s">
        <v>449</v>
      </c>
      <c r="K82" s="9">
        <v>4147.8248286930002</v>
      </c>
    </row>
    <row r="83" spans="1:11" ht="17" x14ac:dyDescent="0.2">
      <c r="A83" s="3" t="s">
        <v>90</v>
      </c>
      <c r="B83" s="3" t="s">
        <v>166</v>
      </c>
      <c r="C83" s="3" t="s">
        <v>308</v>
      </c>
      <c r="D83" s="4"/>
      <c r="E83" s="3" t="s">
        <v>296</v>
      </c>
      <c r="F83" s="3" t="s">
        <v>296</v>
      </c>
      <c r="G83" s="3" t="s">
        <v>296</v>
      </c>
      <c r="H83" s="3" t="s">
        <v>296</v>
      </c>
      <c r="I83" s="3" t="s">
        <v>253</v>
      </c>
      <c r="J83" s="7" t="s">
        <v>448</v>
      </c>
      <c r="K83" s="9">
        <v>4751.7367807866804</v>
      </c>
    </row>
    <row r="84" spans="1:11" ht="17" x14ac:dyDescent="0.2">
      <c r="A84" s="3" t="s">
        <v>91</v>
      </c>
      <c r="B84" s="3" t="s">
        <v>166</v>
      </c>
      <c r="C84" s="3" t="s">
        <v>308</v>
      </c>
      <c r="D84" s="4"/>
      <c r="E84" s="3" t="s">
        <v>296</v>
      </c>
      <c r="F84" s="3" t="s">
        <v>297</v>
      </c>
      <c r="G84" s="3" t="s">
        <v>297</v>
      </c>
      <c r="H84" s="3" t="s">
        <v>10</v>
      </c>
      <c r="I84" s="3" t="s">
        <v>10</v>
      </c>
      <c r="J84" s="7" t="s">
        <v>445</v>
      </c>
      <c r="K84" s="3">
        <v>0.46</v>
      </c>
    </row>
    <row r="85" spans="1:11" ht="17" x14ac:dyDescent="0.2">
      <c r="A85" s="3" t="s">
        <v>92</v>
      </c>
      <c r="B85" s="3" t="s">
        <v>166</v>
      </c>
      <c r="C85" s="3" t="s">
        <v>481</v>
      </c>
      <c r="D85" s="4" t="s">
        <v>171</v>
      </c>
      <c r="E85" s="3" t="s">
        <v>297</v>
      </c>
      <c r="F85" s="3" t="s">
        <v>10</v>
      </c>
      <c r="G85" s="3" t="s">
        <v>297</v>
      </c>
      <c r="H85" s="3" t="s">
        <v>10</v>
      </c>
      <c r="I85" s="3" t="s">
        <v>10</v>
      </c>
      <c r="J85" s="7" t="s">
        <v>451</v>
      </c>
      <c r="K85" s="3" t="s">
        <v>10</v>
      </c>
    </row>
    <row r="86" spans="1:11" ht="17" x14ac:dyDescent="0.2">
      <c r="A86" s="3" t="s">
        <v>93</v>
      </c>
      <c r="B86" s="3" t="s">
        <v>166</v>
      </c>
      <c r="C86" s="3" t="s">
        <v>315</v>
      </c>
      <c r="D86" s="4"/>
      <c r="E86" s="3" t="s">
        <v>296</v>
      </c>
      <c r="F86" s="3" t="s">
        <v>296</v>
      </c>
      <c r="G86" s="3" t="s">
        <v>297</v>
      </c>
      <c r="H86" s="3" t="s">
        <v>10</v>
      </c>
      <c r="I86" s="3" t="s">
        <v>254</v>
      </c>
      <c r="J86" s="7" t="s">
        <v>443</v>
      </c>
      <c r="K86" s="9">
        <v>1173.7671236181</v>
      </c>
    </row>
    <row r="87" spans="1:11" ht="17" x14ac:dyDescent="0.2">
      <c r="A87" s="3" t="s">
        <v>94</v>
      </c>
      <c r="B87" s="3" t="s">
        <v>166</v>
      </c>
      <c r="C87" s="3" t="s">
        <v>315</v>
      </c>
      <c r="D87" s="4"/>
      <c r="E87" s="3" t="s">
        <v>296</v>
      </c>
      <c r="F87" s="3" t="s">
        <v>296</v>
      </c>
      <c r="G87" s="3" t="s">
        <v>296</v>
      </c>
      <c r="H87" s="3" t="s">
        <v>296</v>
      </c>
      <c r="I87" s="3" t="s">
        <v>255</v>
      </c>
      <c r="J87" s="7" t="s">
        <v>446</v>
      </c>
      <c r="K87" s="9">
        <v>83.227931418470007</v>
      </c>
    </row>
    <row r="88" spans="1:11" ht="34" x14ac:dyDescent="0.2">
      <c r="A88" s="2" t="s">
        <v>95</v>
      </c>
      <c r="B88" s="2" t="s">
        <v>167</v>
      </c>
      <c r="C88" s="2" t="s">
        <v>309</v>
      </c>
      <c r="D88" s="4"/>
      <c r="E88" s="3" t="s">
        <v>296</v>
      </c>
      <c r="F88" s="3" t="s">
        <v>297</v>
      </c>
      <c r="G88" s="3" t="s">
        <v>296</v>
      </c>
      <c r="H88" s="3" t="s">
        <v>296</v>
      </c>
      <c r="I88" s="3" t="s">
        <v>256</v>
      </c>
      <c r="J88" s="7" t="s">
        <v>454</v>
      </c>
      <c r="K88" s="9">
        <v>5489.9599773139398</v>
      </c>
    </row>
    <row r="89" spans="1:11" ht="17" x14ac:dyDescent="0.2">
      <c r="A89" s="2" t="s">
        <v>96</v>
      </c>
      <c r="B89" s="2" t="s">
        <v>167</v>
      </c>
      <c r="C89" s="2" t="s">
        <v>309</v>
      </c>
      <c r="D89" s="4"/>
      <c r="E89" s="3" t="s">
        <v>296</v>
      </c>
      <c r="F89" s="3" t="s">
        <v>297</v>
      </c>
      <c r="G89" s="3" t="s">
        <v>296</v>
      </c>
      <c r="H89" s="3" t="s">
        <v>296</v>
      </c>
      <c r="I89" s="3" t="s">
        <v>257</v>
      </c>
      <c r="J89" s="7" t="s">
        <v>450</v>
      </c>
      <c r="K89" s="9">
        <v>32.701054108811697</v>
      </c>
    </row>
    <row r="90" spans="1:11" ht="17" x14ac:dyDescent="0.2">
      <c r="A90" s="2" t="s">
        <v>97</v>
      </c>
      <c r="B90" s="2" t="s">
        <v>167</v>
      </c>
      <c r="C90" s="2" t="s">
        <v>309</v>
      </c>
      <c r="D90" s="4"/>
      <c r="E90" s="3" t="s">
        <v>296</v>
      </c>
      <c r="F90" s="3" t="s">
        <v>296</v>
      </c>
      <c r="G90" s="3" t="s">
        <v>296</v>
      </c>
      <c r="H90" s="3" t="s">
        <v>296</v>
      </c>
      <c r="I90" s="3" t="s">
        <v>258</v>
      </c>
      <c r="J90" s="7" t="s">
        <v>459</v>
      </c>
      <c r="K90" s="9">
        <v>15162.5860837279</v>
      </c>
    </row>
    <row r="91" spans="1:11" ht="17" x14ac:dyDescent="0.2">
      <c r="A91" s="2" t="s">
        <v>98</v>
      </c>
      <c r="B91" s="2" t="s">
        <v>167</v>
      </c>
      <c r="C91" s="2" t="s">
        <v>309</v>
      </c>
      <c r="D91" s="4"/>
      <c r="E91" s="3" t="s">
        <v>296</v>
      </c>
      <c r="F91" s="3" t="s">
        <v>297</v>
      </c>
      <c r="G91" s="3" t="s">
        <v>297</v>
      </c>
      <c r="H91" s="3" t="s">
        <v>297</v>
      </c>
      <c r="I91" s="3" t="s">
        <v>259</v>
      </c>
      <c r="J91" s="7" t="s">
        <v>468</v>
      </c>
      <c r="K91" s="9">
        <v>201.35306637108599</v>
      </c>
    </row>
    <row r="92" spans="1:11" ht="17" x14ac:dyDescent="0.2">
      <c r="A92" s="2" t="s">
        <v>99</v>
      </c>
      <c r="B92" s="2" t="s">
        <v>167</v>
      </c>
      <c r="C92" s="2" t="s">
        <v>309</v>
      </c>
      <c r="D92" s="4"/>
      <c r="E92" s="3" t="s">
        <v>296</v>
      </c>
      <c r="F92" s="3" t="s">
        <v>296</v>
      </c>
      <c r="G92" s="3" t="s">
        <v>296</v>
      </c>
      <c r="H92" s="3" t="s">
        <v>296</v>
      </c>
      <c r="I92" s="3" t="s">
        <v>260</v>
      </c>
      <c r="J92" s="7" t="s">
        <v>462</v>
      </c>
      <c r="K92" s="9">
        <v>24442.9702358836</v>
      </c>
    </row>
    <row r="93" spans="1:11" ht="17" x14ac:dyDescent="0.2">
      <c r="A93" s="2" t="s">
        <v>100</v>
      </c>
      <c r="B93" s="2" t="s">
        <v>167</v>
      </c>
      <c r="C93" s="2" t="s">
        <v>309</v>
      </c>
      <c r="D93" s="4"/>
      <c r="E93" s="3" t="s">
        <v>296</v>
      </c>
      <c r="F93" s="3" t="s">
        <v>297</v>
      </c>
      <c r="G93" s="3" t="s">
        <v>297</v>
      </c>
      <c r="H93" s="3" t="s">
        <v>10</v>
      </c>
      <c r="I93" s="3" t="s">
        <v>266</v>
      </c>
      <c r="J93" s="7" t="s">
        <v>466</v>
      </c>
      <c r="K93" s="9">
        <v>4548.3932753054796</v>
      </c>
    </row>
    <row r="94" spans="1:11" ht="17" x14ac:dyDescent="0.2">
      <c r="A94" s="2" t="s">
        <v>101</v>
      </c>
      <c r="B94" s="2" t="s">
        <v>167</v>
      </c>
      <c r="C94" s="2" t="s">
        <v>309</v>
      </c>
      <c r="D94" s="4"/>
      <c r="E94" s="3" t="s">
        <v>296</v>
      </c>
      <c r="F94" s="3" t="s">
        <v>296</v>
      </c>
      <c r="G94" s="3" t="s">
        <v>296</v>
      </c>
      <c r="H94" s="3" t="s">
        <v>296</v>
      </c>
      <c r="I94" s="3" t="s">
        <v>267</v>
      </c>
      <c r="J94" s="7" t="s">
        <v>465</v>
      </c>
      <c r="K94" s="9">
        <v>12009.5903917662</v>
      </c>
    </row>
    <row r="95" spans="1:11" ht="17" x14ac:dyDescent="0.2">
      <c r="A95" s="2" t="s">
        <v>102</v>
      </c>
      <c r="B95" s="2" t="s">
        <v>167</v>
      </c>
      <c r="C95" s="2" t="s">
        <v>309</v>
      </c>
      <c r="D95" s="4"/>
      <c r="E95" s="3" t="s">
        <v>296</v>
      </c>
      <c r="F95" s="3" t="s">
        <v>297</v>
      </c>
      <c r="G95" s="3" t="s">
        <v>297</v>
      </c>
      <c r="H95" s="3" t="s">
        <v>297</v>
      </c>
      <c r="I95" s="3" t="s">
        <v>10</v>
      </c>
      <c r="J95" s="7" t="s">
        <v>461</v>
      </c>
      <c r="K95" s="3">
        <v>3.09</v>
      </c>
    </row>
    <row r="96" spans="1:11" ht="17" x14ac:dyDescent="0.2">
      <c r="A96" s="2" t="s">
        <v>103</v>
      </c>
      <c r="B96" s="2" t="s">
        <v>167</v>
      </c>
      <c r="C96" s="2" t="s">
        <v>309</v>
      </c>
      <c r="D96" s="4"/>
      <c r="E96" s="3" t="s">
        <v>296</v>
      </c>
      <c r="F96" s="3" t="s">
        <v>296</v>
      </c>
      <c r="G96" s="3" t="s">
        <v>297</v>
      </c>
      <c r="H96" s="3" t="s">
        <v>10</v>
      </c>
      <c r="I96" s="3" t="s">
        <v>268</v>
      </c>
      <c r="J96" s="7" t="s">
        <v>464</v>
      </c>
      <c r="K96" s="9">
        <v>3291.81390900714</v>
      </c>
    </row>
    <row r="97" spans="1:11" ht="17" x14ac:dyDescent="0.2">
      <c r="A97" s="2" t="s">
        <v>104</v>
      </c>
      <c r="B97" s="2" t="s">
        <v>167</v>
      </c>
      <c r="C97" s="2" t="s">
        <v>309</v>
      </c>
      <c r="D97" s="4"/>
      <c r="E97" s="3" t="s">
        <v>296</v>
      </c>
      <c r="F97" s="3" t="s">
        <v>296</v>
      </c>
      <c r="G97" s="3" t="s">
        <v>297</v>
      </c>
      <c r="H97" s="3" t="s">
        <v>297</v>
      </c>
      <c r="I97" s="3" t="s">
        <v>269</v>
      </c>
      <c r="J97" s="7" t="s">
        <v>457</v>
      </c>
      <c r="K97" s="9">
        <v>3262.9207603790501</v>
      </c>
    </row>
    <row r="98" spans="1:11" ht="17" x14ac:dyDescent="0.2">
      <c r="A98" s="2" t="s">
        <v>105</v>
      </c>
      <c r="B98" s="2" t="s">
        <v>167</v>
      </c>
      <c r="C98" s="2" t="s">
        <v>309</v>
      </c>
      <c r="D98" s="4"/>
      <c r="E98" s="3" t="s">
        <v>296</v>
      </c>
      <c r="F98" s="3" t="s">
        <v>296</v>
      </c>
      <c r="G98" s="3" t="s">
        <v>297</v>
      </c>
      <c r="H98" s="3" t="s">
        <v>10</v>
      </c>
      <c r="I98" s="3" t="s">
        <v>270</v>
      </c>
      <c r="J98" s="7" t="s">
        <v>460</v>
      </c>
      <c r="K98" s="9">
        <v>1268.5737859707799</v>
      </c>
    </row>
    <row r="99" spans="1:11" ht="17" x14ac:dyDescent="0.2">
      <c r="A99" s="2" t="s">
        <v>106</v>
      </c>
      <c r="B99" s="2" t="s">
        <v>167</v>
      </c>
      <c r="C99" s="2" t="s">
        <v>309</v>
      </c>
      <c r="D99" s="4"/>
      <c r="E99" s="3" t="s">
        <v>296</v>
      </c>
      <c r="F99" s="3" t="s">
        <v>296</v>
      </c>
      <c r="G99" s="3" t="s">
        <v>297</v>
      </c>
      <c r="H99" s="3" t="s">
        <v>10</v>
      </c>
      <c r="I99" s="3" t="s">
        <v>271</v>
      </c>
      <c r="J99" s="7" t="s">
        <v>463</v>
      </c>
      <c r="K99" s="9">
        <v>8923.7686794013407</v>
      </c>
    </row>
    <row r="100" spans="1:11" ht="34" x14ac:dyDescent="0.2">
      <c r="A100" s="2" t="s">
        <v>107</v>
      </c>
      <c r="B100" s="2" t="s">
        <v>167</v>
      </c>
      <c r="C100" s="2" t="s">
        <v>309</v>
      </c>
      <c r="D100" s="4"/>
      <c r="E100" s="3" t="s">
        <v>296</v>
      </c>
      <c r="F100" s="3" t="s">
        <v>296</v>
      </c>
      <c r="G100" s="3" t="s">
        <v>296</v>
      </c>
      <c r="H100" s="3" t="s">
        <v>296</v>
      </c>
      <c r="I100" s="3" t="s">
        <v>261</v>
      </c>
      <c r="J100" s="7" t="s">
        <v>458</v>
      </c>
      <c r="K100" s="9">
        <v>11838.717548742999</v>
      </c>
    </row>
    <row r="101" spans="1:11" ht="17" x14ac:dyDescent="0.2">
      <c r="A101" s="2" t="s">
        <v>108</v>
      </c>
      <c r="B101" s="2" t="s">
        <v>167</v>
      </c>
      <c r="C101" s="2" t="s">
        <v>309</v>
      </c>
      <c r="D101" s="4"/>
      <c r="E101" s="3" t="s">
        <v>296</v>
      </c>
      <c r="F101" s="3" t="s">
        <v>296</v>
      </c>
      <c r="G101" s="3" t="s">
        <v>297</v>
      </c>
      <c r="H101" s="3" t="s">
        <v>297</v>
      </c>
      <c r="I101" s="3" t="s">
        <v>272</v>
      </c>
      <c r="J101" s="7" t="s">
        <v>467</v>
      </c>
      <c r="K101" s="9">
        <v>2589.5305911749801</v>
      </c>
    </row>
    <row r="102" spans="1:11" ht="17" x14ac:dyDescent="0.2">
      <c r="A102" s="2" t="s">
        <v>109</v>
      </c>
      <c r="B102" s="2" t="s">
        <v>167</v>
      </c>
      <c r="C102" s="2" t="s">
        <v>309</v>
      </c>
      <c r="D102" s="5" t="s">
        <v>172</v>
      </c>
      <c r="E102" s="3" t="s">
        <v>296</v>
      </c>
      <c r="F102" s="3" t="s">
        <v>296</v>
      </c>
      <c r="G102" s="3" t="s">
        <v>296</v>
      </c>
      <c r="H102" s="3" t="s">
        <v>296</v>
      </c>
      <c r="I102" s="3" t="s">
        <v>293</v>
      </c>
      <c r="J102" s="7" t="s">
        <v>320</v>
      </c>
      <c r="K102" s="9">
        <v>702.88536846407999</v>
      </c>
    </row>
    <row r="103" spans="1:11" ht="17" x14ac:dyDescent="0.2">
      <c r="A103" s="2" t="s">
        <v>110</v>
      </c>
      <c r="B103" s="2" t="s">
        <v>167</v>
      </c>
      <c r="C103" s="2" t="s">
        <v>309</v>
      </c>
      <c r="D103" s="5"/>
      <c r="E103" s="3" t="s">
        <v>296</v>
      </c>
      <c r="F103" s="3" t="s">
        <v>296</v>
      </c>
      <c r="G103" s="3" t="s">
        <v>297</v>
      </c>
      <c r="H103" s="3" t="s">
        <v>10</v>
      </c>
      <c r="I103" s="3" t="s">
        <v>262</v>
      </c>
      <c r="J103" s="7" t="s">
        <v>344</v>
      </c>
      <c r="K103" s="9">
        <v>880.70723972266205</v>
      </c>
    </row>
    <row r="104" spans="1:11" ht="17" x14ac:dyDescent="0.2">
      <c r="A104" s="2" t="s">
        <v>111</v>
      </c>
      <c r="B104" s="2" t="s">
        <v>167</v>
      </c>
      <c r="C104" s="2" t="s">
        <v>309</v>
      </c>
      <c r="D104" s="5"/>
      <c r="E104" s="3" t="s">
        <v>296</v>
      </c>
      <c r="F104" s="3" t="s">
        <v>296</v>
      </c>
      <c r="G104" s="3" t="s">
        <v>297</v>
      </c>
      <c r="H104" s="3" t="s">
        <v>10</v>
      </c>
      <c r="I104" s="3" t="s">
        <v>263</v>
      </c>
      <c r="J104" s="7" t="s">
        <v>340</v>
      </c>
      <c r="K104" s="9">
        <v>5739.6455617541296</v>
      </c>
    </row>
    <row r="105" spans="1:11" ht="34" x14ac:dyDescent="0.2">
      <c r="A105" s="2" t="s">
        <v>112</v>
      </c>
      <c r="B105" s="2" t="s">
        <v>167</v>
      </c>
      <c r="C105" s="2" t="s">
        <v>309</v>
      </c>
      <c r="D105" s="5"/>
      <c r="E105" s="3" t="s">
        <v>296</v>
      </c>
      <c r="F105" s="3" t="s">
        <v>296</v>
      </c>
      <c r="G105" s="3" t="s">
        <v>296</v>
      </c>
      <c r="H105" s="3" t="s">
        <v>296</v>
      </c>
      <c r="I105" s="3" t="s">
        <v>264</v>
      </c>
      <c r="J105" s="7" t="s">
        <v>360</v>
      </c>
      <c r="K105" s="9">
        <v>3128.5098569278998</v>
      </c>
    </row>
    <row r="106" spans="1:11" ht="34" x14ac:dyDescent="0.2">
      <c r="A106" s="2" t="s">
        <v>113</v>
      </c>
      <c r="B106" s="2" t="s">
        <v>167</v>
      </c>
      <c r="C106" s="2" t="s">
        <v>309</v>
      </c>
      <c r="D106" s="5"/>
      <c r="E106" s="3" t="s">
        <v>296</v>
      </c>
      <c r="F106" s="3" t="s">
        <v>297</v>
      </c>
      <c r="G106" s="3" t="s">
        <v>296</v>
      </c>
      <c r="H106" s="3" t="s">
        <v>296</v>
      </c>
      <c r="I106" s="3" t="s">
        <v>265</v>
      </c>
      <c r="J106" s="7" t="s">
        <v>343</v>
      </c>
      <c r="K106" s="9">
        <v>31.7197817189418</v>
      </c>
    </row>
    <row r="107" spans="1:11" ht="17" x14ac:dyDescent="0.2">
      <c r="A107" s="2" t="s">
        <v>114</v>
      </c>
      <c r="B107" s="2" t="s">
        <v>167</v>
      </c>
      <c r="C107" s="2" t="s">
        <v>309</v>
      </c>
      <c r="D107" s="5"/>
      <c r="E107" s="3" t="s">
        <v>296</v>
      </c>
      <c r="F107" s="3" t="s">
        <v>297</v>
      </c>
      <c r="G107" s="3" t="s">
        <v>297</v>
      </c>
      <c r="H107" s="3" t="s">
        <v>10</v>
      </c>
      <c r="I107" s="3" t="s">
        <v>10</v>
      </c>
      <c r="J107" s="7" t="s">
        <v>345</v>
      </c>
      <c r="K107" s="3">
        <v>1.5</v>
      </c>
    </row>
    <row r="108" spans="1:11" ht="17" x14ac:dyDescent="0.2">
      <c r="A108" s="3" t="s">
        <v>115</v>
      </c>
      <c r="B108" s="3" t="s">
        <v>166</v>
      </c>
      <c r="C108" s="3" t="s">
        <v>482</v>
      </c>
      <c r="D108" s="5"/>
      <c r="E108" s="3" t="s">
        <v>297</v>
      </c>
      <c r="F108" s="3" t="s">
        <v>10</v>
      </c>
      <c r="G108" s="3" t="s">
        <v>297</v>
      </c>
      <c r="H108" s="3" t="s">
        <v>10</v>
      </c>
      <c r="I108" s="3" t="s">
        <v>10</v>
      </c>
      <c r="J108" s="7" t="s">
        <v>342</v>
      </c>
      <c r="K108" s="3">
        <v>0.05</v>
      </c>
    </row>
    <row r="109" spans="1:11" ht="17" x14ac:dyDescent="0.2">
      <c r="A109" s="3" t="s">
        <v>116</v>
      </c>
      <c r="B109" s="3" t="s">
        <v>166</v>
      </c>
      <c r="C109" s="3" t="s">
        <v>482</v>
      </c>
      <c r="D109" s="5"/>
      <c r="E109" s="3" t="s">
        <v>297</v>
      </c>
      <c r="F109" s="3" t="s">
        <v>10</v>
      </c>
      <c r="G109" s="3" t="s">
        <v>297</v>
      </c>
      <c r="H109" s="3" t="s">
        <v>10</v>
      </c>
      <c r="I109" s="3" t="s">
        <v>10</v>
      </c>
      <c r="J109" s="7" t="s">
        <v>346</v>
      </c>
      <c r="K109" s="3" t="s">
        <v>10</v>
      </c>
    </row>
    <row r="110" spans="1:11" ht="17" x14ac:dyDescent="0.2">
      <c r="A110" s="3" t="s">
        <v>117</v>
      </c>
      <c r="B110" s="3" t="s">
        <v>166</v>
      </c>
      <c r="C110" s="3" t="s">
        <v>481</v>
      </c>
      <c r="D110" s="5"/>
      <c r="E110" s="3" t="s">
        <v>296</v>
      </c>
      <c r="F110" s="3" t="s">
        <v>296</v>
      </c>
      <c r="G110" s="3" t="s">
        <v>297</v>
      </c>
      <c r="H110" s="3" t="s">
        <v>10</v>
      </c>
      <c r="I110" s="3" t="s">
        <v>194</v>
      </c>
      <c r="J110" s="7" t="s">
        <v>341</v>
      </c>
      <c r="K110" s="9">
        <v>141.44236311113201</v>
      </c>
    </row>
    <row r="111" spans="1:11" ht="17" x14ac:dyDescent="0.2">
      <c r="A111" s="3" t="s">
        <v>118</v>
      </c>
      <c r="B111" s="3" t="s">
        <v>166</v>
      </c>
      <c r="C111" s="3" t="s">
        <v>310</v>
      </c>
      <c r="D111" s="5"/>
      <c r="E111" s="3" t="s">
        <v>296</v>
      </c>
      <c r="F111" s="3" t="s">
        <v>297</v>
      </c>
      <c r="G111" s="3" t="s">
        <v>297</v>
      </c>
      <c r="H111" s="3" t="s">
        <v>10</v>
      </c>
      <c r="I111" s="3" t="s">
        <v>10</v>
      </c>
      <c r="J111" s="7" t="s">
        <v>364</v>
      </c>
      <c r="K111" s="3">
        <v>1.81</v>
      </c>
    </row>
    <row r="112" spans="1:11" ht="17" x14ac:dyDescent="0.2">
      <c r="A112" s="3" t="s">
        <v>119</v>
      </c>
      <c r="B112" s="3" t="s">
        <v>166</v>
      </c>
      <c r="C112" s="3" t="s">
        <v>316</v>
      </c>
      <c r="D112" s="5"/>
      <c r="E112" s="3" t="s">
        <v>296</v>
      </c>
      <c r="F112" s="3" t="s">
        <v>296</v>
      </c>
      <c r="G112" s="3" t="s">
        <v>296</v>
      </c>
      <c r="H112" s="3" t="s">
        <v>296</v>
      </c>
      <c r="I112" s="3" t="s">
        <v>196</v>
      </c>
      <c r="J112" s="7" t="s">
        <v>367</v>
      </c>
      <c r="K112" s="9">
        <v>2286.0010395654899</v>
      </c>
    </row>
    <row r="113" spans="1:11" ht="17" x14ac:dyDescent="0.2">
      <c r="A113" s="3" t="s">
        <v>120</v>
      </c>
      <c r="B113" s="3" t="s">
        <v>166</v>
      </c>
      <c r="C113" s="3" t="s">
        <v>311</v>
      </c>
      <c r="D113" s="4"/>
      <c r="E113" s="3" t="s">
        <v>296</v>
      </c>
      <c r="F113" s="3" t="s">
        <v>297</v>
      </c>
      <c r="G113" s="3" t="s">
        <v>296</v>
      </c>
      <c r="H113" s="3" t="s">
        <v>297</v>
      </c>
      <c r="I113" s="3" t="s">
        <v>10</v>
      </c>
      <c r="J113" s="7" t="s">
        <v>362</v>
      </c>
      <c r="K113" s="3">
        <v>1.03</v>
      </c>
    </row>
    <row r="114" spans="1:11" ht="17" x14ac:dyDescent="0.2">
      <c r="A114" s="3" t="s">
        <v>121</v>
      </c>
      <c r="B114" s="3" t="s">
        <v>166</v>
      </c>
      <c r="C114" s="3" t="s">
        <v>311</v>
      </c>
      <c r="D114" s="4"/>
      <c r="E114" s="3" t="s">
        <v>296</v>
      </c>
      <c r="F114" s="3" t="s">
        <v>296</v>
      </c>
      <c r="G114" s="3" t="s">
        <v>296</v>
      </c>
      <c r="H114" s="3" t="s">
        <v>296</v>
      </c>
      <c r="I114" s="3" t="s">
        <v>275</v>
      </c>
      <c r="J114" s="7" t="s">
        <v>366</v>
      </c>
      <c r="K114" s="9">
        <v>2480.5245329208901</v>
      </c>
    </row>
    <row r="115" spans="1:11" ht="17" x14ac:dyDescent="0.2">
      <c r="A115" s="3" t="s">
        <v>122</v>
      </c>
      <c r="B115" s="3" t="s">
        <v>166</v>
      </c>
      <c r="C115" s="3" t="s">
        <v>311</v>
      </c>
      <c r="D115" s="4"/>
      <c r="E115" s="3" t="s">
        <v>297</v>
      </c>
      <c r="F115" s="3" t="s">
        <v>10</v>
      </c>
      <c r="G115" s="3" t="s">
        <v>297</v>
      </c>
      <c r="H115" s="3" t="s">
        <v>10</v>
      </c>
      <c r="I115" s="3" t="s">
        <v>10</v>
      </c>
      <c r="J115" s="7" t="s">
        <v>396</v>
      </c>
      <c r="K115" s="3" t="s">
        <v>10</v>
      </c>
    </row>
    <row r="116" spans="1:11" ht="17" x14ac:dyDescent="0.2">
      <c r="A116" s="3" t="s">
        <v>123</v>
      </c>
      <c r="B116" s="3" t="s">
        <v>166</v>
      </c>
      <c r="C116" s="3" t="s">
        <v>311</v>
      </c>
      <c r="D116" s="4"/>
      <c r="E116" s="3" t="s">
        <v>296</v>
      </c>
      <c r="F116" s="3" t="s">
        <v>296</v>
      </c>
      <c r="G116" s="3" t="s">
        <v>297</v>
      </c>
      <c r="H116" s="3" t="s">
        <v>10</v>
      </c>
      <c r="I116" s="3" t="s">
        <v>274</v>
      </c>
      <c r="J116" s="7" t="s">
        <v>398</v>
      </c>
      <c r="K116" s="9">
        <v>665.49532949965101</v>
      </c>
    </row>
    <row r="117" spans="1:11" ht="17" x14ac:dyDescent="0.2">
      <c r="A117" s="3" t="s">
        <v>124</v>
      </c>
      <c r="B117" s="3" t="s">
        <v>166</v>
      </c>
      <c r="C117" s="3" t="s">
        <v>311</v>
      </c>
      <c r="D117" s="4"/>
      <c r="E117" s="3" t="s">
        <v>296</v>
      </c>
      <c r="F117" s="3" t="s">
        <v>296</v>
      </c>
      <c r="G117" s="3" t="s">
        <v>297</v>
      </c>
      <c r="H117" s="3" t="s">
        <v>10</v>
      </c>
      <c r="I117" s="3" t="s">
        <v>273</v>
      </c>
      <c r="J117" s="7" t="s">
        <v>392</v>
      </c>
      <c r="K117" s="9">
        <v>178.31876081458199</v>
      </c>
    </row>
    <row r="118" spans="1:11" ht="17" x14ac:dyDescent="0.2">
      <c r="A118" s="3" t="s">
        <v>125</v>
      </c>
      <c r="B118" s="3" t="s">
        <v>166</v>
      </c>
      <c r="C118" s="3" t="s">
        <v>311</v>
      </c>
      <c r="D118" s="4"/>
      <c r="E118" s="3" t="s">
        <v>296</v>
      </c>
      <c r="F118" s="3" t="s">
        <v>297</v>
      </c>
      <c r="G118" s="3" t="s">
        <v>297</v>
      </c>
      <c r="H118" s="3" t="s">
        <v>10</v>
      </c>
      <c r="I118" s="3" t="s">
        <v>10</v>
      </c>
      <c r="J118" s="7" t="s">
        <v>373</v>
      </c>
      <c r="K118" s="3">
        <v>0.94</v>
      </c>
    </row>
    <row r="119" spans="1:11" ht="17" x14ac:dyDescent="0.2">
      <c r="A119" s="3" t="s">
        <v>126</v>
      </c>
      <c r="B119" s="3" t="s">
        <v>166</v>
      </c>
      <c r="C119" s="3" t="s">
        <v>311</v>
      </c>
      <c r="D119" s="4"/>
      <c r="E119" s="3" t="s">
        <v>297</v>
      </c>
      <c r="F119" s="3" t="s">
        <v>10</v>
      </c>
      <c r="G119" s="3" t="s">
        <v>297</v>
      </c>
      <c r="H119" s="3" t="s">
        <v>10</v>
      </c>
      <c r="I119" s="3" t="s">
        <v>10</v>
      </c>
      <c r="J119" s="7" t="s">
        <v>394</v>
      </c>
      <c r="K119" s="3">
        <v>0.03</v>
      </c>
    </row>
    <row r="120" spans="1:11" ht="17" x14ac:dyDescent="0.2">
      <c r="A120" s="2" t="s">
        <v>127</v>
      </c>
      <c r="B120" s="2" t="s">
        <v>168</v>
      </c>
      <c r="C120" s="2" t="s">
        <v>314</v>
      </c>
      <c r="D120" s="5" t="s">
        <v>172</v>
      </c>
      <c r="E120" s="3" t="s">
        <v>297</v>
      </c>
      <c r="F120" s="3" t="s">
        <v>10</v>
      </c>
      <c r="G120" s="3" t="s">
        <v>297</v>
      </c>
      <c r="H120" s="3" t="s">
        <v>10</v>
      </c>
      <c r="I120" s="3" t="s">
        <v>10</v>
      </c>
      <c r="J120" s="7" t="s">
        <v>374</v>
      </c>
      <c r="K120" s="3" t="s">
        <v>10</v>
      </c>
    </row>
    <row r="121" spans="1:11" ht="17" x14ac:dyDescent="0.2">
      <c r="A121" s="2" t="s">
        <v>128</v>
      </c>
      <c r="B121" s="2" t="s">
        <v>168</v>
      </c>
      <c r="C121" s="2" t="s">
        <v>314</v>
      </c>
      <c r="D121" s="5" t="s">
        <v>172</v>
      </c>
      <c r="E121" s="3" t="s">
        <v>297</v>
      </c>
      <c r="F121" s="3" t="s">
        <v>10</v>
      </c>
      <c r="G121" s="3" t="s">
        <v>297</v>
      </c>
      <c r="H121" s="3" t="s">
        <v>10</v>
      </c>
      <c r="I121" s="3" t="s">
        <v>10</v>
      </c>
      <c r="J121" s="7" t="s">
        <v>376</v>
      </c>
      <c r="K121" s="3" t="s">
        <v>10</v>
      </c>
    </row>
    <row r="122" spans="1:11" ht="17" x14ac:dyDescent="0.2">
      <c r="A122" s="2" t="s">
        <v>129</v>
      </c>
      <c r="B122" s="2" t="s">
        <v>168</v>
      </c>
      <c r="C122" s="2" t="s">
        <v>314</v>
      </c>
      <c r="D122" s="5"/>
      <c r="E122" s="3" t="s">
        <v>296</v>
      </c>
      <c r="F122" s="3" t="s">
        <v>296</v>
      </c>
      <c r="G122" s="3" t="s">
        <v>296</v>
      </c>
      <c r="H122" s="3" t="s">
        <v>296</v>
      </c>
      <c r="I122" s="3" t="s">
        <v>276</v>
      </c>
      <c r="J122" s="7" t="s">
        <v>368</v>
      </c>
      <c r="K122" s="9">
        <v>11008.1344328543</v>
      </c>
    </row>
    <row r="123" spans="1:11" ht="17" x14ac:dyDescent="0.2">
      <c r="A123" s="2" t="s">
        <v>130</v>
      </c>
      <c r="B123" s="2" t="s">
        <v>168</v>
      </c>
      <c r="C123" s="2" t="s">
        <v>314</v>
      </c>
      <c r="D123" s="5" t="s">
        <v>172</v>
      </c>
      <c r="E123" s="3" t="s">
        <v>297</v>
      </c>
      <c r="F123" s="3" t="s">
        <v>10</v>
      </c>
      <c r="G123" s="3" t="s">
        <v>297</v>
      </c>
      <c r="H123" s="3" t="s">
        <v>10</v>
      </c>
      <c r="I123" s="3" t="s">
        <v>10</v>
      </c>
      <c r="J123" s="7" t="s">
        <v>371</v>
      </c>
      <c r="K123" s="3">
        <v>0.19</v>
      </c>
    </row>
    <row r="124" spans="1:11" ht="17" x14ac:dyDescent="0.2">
      <c r="A124" s="2" t="s">
        <v>131</v>
      </c>
      <c r="B124" s="2" t="s">
        <v>168</v>
      </c>
      <c r="C124" s="2" t="s">
        <v>314</v>
      </c>
      <c r="D124" s="5"/>
      <c r="E124" s="3" t="s">
        <v>297</v>
      </c>
      <c r="F124" s="3" t="s">
        <v>10</v>
      </c>
      <c r="G124" s="3" t="s">
        <v>297</v>
      </c>
      <c r="H124" s="3" t="s">
        <v>10</v>
      </c>
      <c r="I124" s="3" t="s">
        <v>10</v>
      </c>
      <c r="J124" s="7" t="s">
        <v>377</v>
      </c>
      <c r="K124" s="3">
        <v>0.09</v>
      </c>
    </row>
    <row r="125" spans="1:11" ht="17" x14ac:dyDescent="0.2">
      <c r="A125" s="2" t="s">
        <v>132</v>
      </c>
      <c r="B125" s="2" t="s">
        <v>168</v>
      </c>
      <c r="C125" s="2" t="s">
        <v>314</v>
      </c>
      <c r="D125" s="5" t="s">
        <v>172</v>
      </c>
      <c r="E125" s="3" t="s">
        <v>297</v>
      </c>
      <c r="F125" s="3" t="s">
        <v>10</v>
      </c>
      <c r="G125" s="3" t="s">
        <v>297</v>
      </c>
      <c r="H125" s="3" t="s">
        <v>10</v>
      </c>
      <c r="I125" s="3" t="s">
        <v>10</v>
      </c>
      <c r="J125" s="7" t="s">
        <v>393</v>
      </c>
      <c r="K125" s="3" t="s">
        <v>10</v>
      </c>
    </row>
    <row r="126" spans="1:11" ht="17" x14ac:dyDescent="0.2">
      <c r="A126" s="2" t="s">
        <v>133</v>
      </c>
      <c r="B126" s="2" t="s">
        <v>168</v>
      </c>
      <c r="C126" s="2" t="s">
        <v>314</v>
      </c>
      <c r="D126" s="5" t="s">
        <v>172</v>
      </c>
      <c r="E126" s="3" t="s">
        <v>297</v>
      </c>
      <c r="F126" s="3" t="s">
        <v>10</v>
      </c>
      <c r="G126" s="3" t="s">
        <v>297</v>
      </c>
      <c r="H126" s="3" t="s">
        <v>10</v>
      </c>
      <c r="I126" s="3" t="s">
        <v>10</v>
      </c>
      <c r="J126" s="7" t="s">
        <v>378</v>
      </c>
      <c r="K126" s="3" t="s">
        <v>10</v>
      </c>
    </row>
    <row r="127" spans="1:11" ht="17" x14ac:dyDescent="0.2">
      <c r="A127" s="2" t="s">
        <v>134</v>
      </c>
      <c r="B127" s="2" t="s">
        <v>168</v>
      </c>
      <c r="C127" s="2" t="s">
        <v>314</v>
      </c>
      <c r="D127" s="5" t="s">
        <v>172</v>
      </c>
      <c r="E127" s="3" t="s">
        <v>297</v>
      </c>
      <c r="F127" s="3" t="s">
        <v>10</v>
      </c>
      <c r="G127" s="3" t="s">
        <v>297</v>
      </c>
      <c r="H127" s="3" t="s">
        <v>10</v>
      </c>
      <c r="I127" s="3" t="s">
        <v>10</v>
      </c>
      <c r="J127" s="7" t="s">
        <v>372</v>
      </c>
      <c r="K127" s="3">
        <v>0.05</v>
      </c>
    </row>
    <row r="128" spans="1:11" ht="17" x14ac:dyDescent="0.2">
      <c r="A128" s="3" t="s">
        <v>135</v>
      </c>
      <c r="B128" s="3" t="s">
        <v>166</v>
      </c>
      <c r="C128" s="3" t="s">
        <v>312</v>
      </c>
      <c r="D128" s="5"/>
      <c r="E128" s="3" t="s">
        <v>296</v>
      </c>
      <c r="F128" s="3" t="s">
        <v>297</v>
      </c>
      <c r="G128" s="3" t="s">
        <v>297</v>
      </c>
      <c r="H128" s="3" t="s">
        <v>10</v>
      </c>
      <c r="I128" s="3" t="s">
        <v>10</v>
      </c>
      <c r="J128" s="7" t="s">
        <v>379</v>
      </c>
      <c r="K128" s="3">
        <v>5.01</v>
      </c>
    </row>
    <row r="129" spans="1:11" ht="17" x14ac:dyDescent="0.2">
      <c r="A129" s="3" t="s">
        <v>136</v>
      </c>
      <c r="B129" s="3" t="s">
        <v>166</v>
      </c>
      <c r="C129" s="3" t="s">
        <v>312</v>
      </c>
      <c r="D129" s="5"/>
      <c r="E129" s="3" t="s">
        <v>296</v>
      </c>
      <c r="F129" s="3" t="s">
        <v>296</v>
      </c>
      <c r="G129" s="3" t="s">
        <v>297</v>
      </c>
      <c r="H129" s="3" t="s">
        <v>10</v>
      </c>
      <c r="I129" s="3" t="s">
        <v>279</v>
      </c>
      <c r="J129" s="7" t="s">
        <v>397</v>
      </c>
      <c r="K129" s="9">
        <v>1307.60640365422</v>
      </c>
    </row>
    <row r="130" spans="1:11" ht="17" x14ac:dyDescent="0.2">
      <c r="A130" s="3" t="s">
        <v>137</v>
      </c>
      <c r="B130" s="3" t="s">
        <v>166</v>
      </c>
      <c r="C130" s="3" t="s">
        <v>312</v>
      </c>
      <c r="D130" s="5"/>
      <c r="E130" s="3" t="s">
        <v>297</v>
      </c>
      <c r="F130" s="3" t="s">
        <v>10</v>
      </c>
      <c r="G130" s="3" t="s">
        <v>297</v>
      </c>
      <c r="H130" s="3" t="s">
        <v>10</v>
      </c>
      <c r="I130" s="3" t="s">
        <v>10</v>
      </c>
      <c r="J130" s="7" t="s">
        <v>370</v>
      </c>
      <c r="K130" s="3">
        <v>7.0000000000000007E-2</v>
      </c>
    </row>
    <row r="131" spans="1:11" ht="17" x14ac:dyDescent="0.2">
      <c r="A131" s="3" t="s">
        <v>138</v>
      </c>
      <c r="B131" s="3" t="s">
        <v>166</v>
      </c>
      <c r="C131" s="3" t="s">
        <v>312</v>
      </c>
      <c r="D131" s="5"/>
      <c r="E131" s="3" t="s">
        <v>297</v>
      </c>
      <c r="F131" s="3" t="s">
        <v>10</v>
      </c>
      <c r="G131" s="3" t="s">
        <v>297</v>
      </c>
      <c r="H131" s="3" t="s">
        <v>10</v>
      </c>
      <c r="I131" s="3" t="s">
        <v>10</v>
      </c>
      <c r="J131" s="7" t="s">
        <v>375</v>
      </c>
      <c r="K131" s="3">
        <v>0.08</v>
      </c>
    </row>
    <row r="132" spans="1:11" ht="34" x14ac:dyDescent="0.2">
      <c r="A132" s="3" t="s">
        <v>139</v>
      </c>
      <c r="B132" s="3" t="s">
        <v>166</v>
      </c>
      <c r="C132" s="3" t="s">
        <v>312</v>
      </c>
      <c r="D132" s="5"/>
      <c r="E132" s="3" t="s">
        <v>296</v>
      </c>
      <c r="F132" s="3" t="s">
        <v>296</v>
      </c>
      <c r="G132" s="3" t="s">
        <v>296</v>
      </c>
      <c r="H132" s="3" t="s">
        <v>296</v>
      </c>
      <c r="I132" s="3" t="s">
        <v>280</v>
      </c>
      <c r="J132" s="7" t="s">
        <v>369</v>
      </c>
      <c r="K132" s="9">
        <v>37.684587911423201</v>
      </c>
    </row>
    <row r="133" spans="1:11" ht="17" x14ac:dyDescent="0.2">
      <c r="A133" s="3" t="s">
        <v>140</v>
      </c>
      <c r="B133" s="3" t="s">
        <v>166</v>
      </c>
      <c r="C133" s="3" t="s">
        <v>312</v>
      </c>
      <c r="D133" s="5"/>
      <c r="E133" s="3" t="s">
        <v>296</v>
      </c>
      <c r="F133" s="3" t="s">
        <v>297</v>
      </c>
      <c r="G133" s="3" t="s">
        <v>296</v>
      </c>
      <c r="H133" s="3" t="s">
        <v>297</v>
      </c>
      <c r="I133" s="3" t="s">
        <v>10</v>
      </c>
      <c r="J133" s="7" t="s">
        <v>401</v>
      </c>
      <c r="K133" s="3">
        <v>7.28</v>
      </c>
    </row>
    <row r="134" spans="1:11" ht="17" x14ac:dyDescent="0.2">
      <c r="A134" s="3" t="s">
        <v>141</v>
      </c>
      <c r="B134" s="3" t="s">
        <v>166</v>
      </c>
      <c r="C134" s="3" t="s">
        <v>312</v>
      </c>
      <c r="D134" s="5"/>
      <c r="E134" s="3" t="s">
        <v>296</v>
      </c>
      <c r="F134" s="3" t="s">
        <v>297</v>
      </c>
      <c r="G134" s="3" t="s">
        <v>297</v>
      </c>
      <c r="H134" s="3" t="s">
        <v>10</v>
      </c>
      <c r="I134" s="3" t="s">
        <v>10</v>
      </c>
      <c r="J134" s="7" t="s">
        <v>388</v>
      </c>
      <c r="K134" s="3">
        <v>19.079999999999998</v>
      </c>
    </row>
    <row r="135" spans="1:11" ht="17" x14ac:dyDescent="0.2">
      <c r="A135" s="3" t="s">
        <v>142</v>
      </c>
      <c r="B135" s="3" t="s">
        <v>166</v>
      </c>
      <c r="C135" s="3" t="s">
        <v>312</v>
      </c>
      <c r="D135" s="5"/>
      <c r="E135" s="3" t="s">
        <v>296</v>
      </c>
      <c r="F135" s="3" t="s">
        <v>297</v>
      </c>
      <c r="G135" s="3" t="s">
        <v>297</v>
      </c>
      <c r="H135" s="3" t="s">
        <v>10</v>
      </c>
      <c r="I135" s="3" t="s">
        <v>10</v>
      </c>
      <c r="J135" s="7" t="s">
        <v>400</v>
      </c>
      <c r="K135" s="8">
        <v>5.75</v>
      </c>
    </row>
    <row r="136" spans="1:11" ht="17" x14ac:dyDescent="0.2">
      <c r="A136" s="3" t="s">
        <v>143</v>
      </c>
      <c r="B136" s="3" t="s">
        <v>166</v>
      </c>
      <c r="C136" s="3" t="s">
        <v>312</v>
      </c>
      <c r="D136" s="5"/>
      <c r="E136" s="3" t="s">
        <v>296</v>
      </c>
      <c r="F136" s="3" t="s">
        <v>297</v>
      </c>
      <c r="G136" s="3" t="s">
        <v>296</v>
      </c>
      <c r="H136" s="3" t="s">
        <v>297</v>
      </c>
      <c r="I136" s="3" t="s">
        <v>10</v>
      </c>
      <c r="J136" s="7" t="s">
        <v>402</v>
      </c>
      <c r="K136" s="3">
        <v>5.04</v>
      </c>
    </row>
    <row r="137" spans="1:11" ht="17" x14ac:dyDescent="0.2">
      <c r="A137" s="3" t="s">
        <v>144</v>
      </c>
      <c r="B137" s="3" t="s">
        <v>166</v>
      </c>
      <c r="C137" s="3" t="s">
        <v>312</v>
      </c>
      <c r="D137" s="5"/>
      <c r="E137" s="3" t="s">
        <v>297</v>
      </c>
      <c r="F137" s="3" t="s">
        <v>10</v>
      </c>
      <c r="G137" s="3" t="s">
        <v>297</v>
      </c>
      <c r="H137" s="3" t="s">
        <v>10</v>
      </c>
      <c r="I137" s="3" t="s">
        <v>10</v>
      </c>
      <c r="J137" s="7" t="s">
        <v>385</v>
      </c>
      <c r="K137" s="3">
        <v>0.12</v>
      </c>
    </row>
    <row r="138" spans="1:11" ht="17" x14ac:dyDescent="0.2">
      <c r="A138" s="3" t="s">
        <v>145</v>
      </c>
      <c r="B138" s="3" t="s">
        <v>166</v>
      </c>
      <c r="C138" s="3" t="s">
        <v>312</v>
      </c>
      <c r="D138" s="5"/>
      <c r="E138" s="3" t="s">
        <v>297</v>
      </c>
      <c r="F138" s="3" t="s">
        <v>10</v>
      </c>
      <c r="G138" s="3" t="s">
        <v>297</v>
      </c>
      <c r="H138" s="3" t="s">
        <v>10</v>
      </c>
      <c r="I138" s="3" t="s">
        <v>10</v>
      </c>
      <c r="J138" s="7" t="s">
        <v>384</v>
      </c>
      <c r="K138" s="3" t="s">
        <v>10</v>
      </c>
    </row>
    <row r="139" spans="1:11" ht="17" x14ac:dyDescent="0.2">
      <c r="A139" s="3" t="s">
        <v>146</v>
      </c>
      <c r="B139" s="3" t="s">
        <v>166</v>
      </c>
      <c r="C139" s="3" t="s">
        <v>312</v>
      </c>
      <c r="D139" s="5"/>
      <c r="E139" s="3" t="s">
        <v>296</v>
      </c>
      <c r="F139" s="3" t="s">
        <v>296</v>
      </c>
      <c r="G139" s="3" t="s">
        <v>297</v>
      </c>
      <c r="H139" s="3" t="s">
        <v>10</v>
      </c>
      <c r="I139" s="3" t="s">
        <v>277</v>
      </c>
      <c r="J139" s="7" t="s">
        <v>383</v>
      </c>
      <c r="K139" s="9">
        <v>2310.6523437486198</v>
      </c>
    </row>
    <row r="140" spans="1:11" ht="17" x14ac:dyDescent="0.2">
      <c r="A140" s="3" t="s">
        <v>147</v>
      </c>
      <c r="B140" s="3" t="s">
        <v>166</v>
      </c>
      <c r="C140" s="3" t="s">
        <v>312</v>
      </c>
      <c r="D140" s="5"/>
      <c r="E140" s="3" t="s">
        <v>296</v>
      </c>
      <c r="F140" s="3" t="s">
        <v>296</v>
      </c>
      <c r="G140" s="3" t="s">
        <v>297</v>
      </c>
      <c r="H140" s="3" t="s">
        <v>297</v>
      </c>
      <c r="I140" s="3" t="s">
        <v>278</v>
      </c>
      <c r="J140" s="7" t="s">
        <v>380</v>
      </c>
      <c r="K140" s="9">
        <v>1969.55149853632</v>
      </c>
    </row>
    <row r="141" spans="1:11" ht="17" x14ac:dyDescent="0.2">
      <c r="A141" s="2" t="s">
        <v>148</v>
      </c>
      <c r="B141" s="2" t="s">
        <v>169</v>
      </c>
      <c r="C141" s="2" t="s">
        <v>313</v>
      </c>
      <c r="D141" s="5"/>
      <c r="E141" s="3" t="s">
        <v>296</v>
      </c>
      <c r="F141" s="3" t="s">
        <v>297</v>
      </c>
      <c r="G141" s="3" t="s">
        <v>296</v>
      </c>
      <c r="H141" s="3" t="s">
        <v>296</v>
      </c>
      <c r="I141" s="3" t="s">
        <v>281</v>
      </c>
      <c r="J141" s="7" t="s">
        <v>390</v>
      </c>
      <c r="K141" s="9">
        <v>47.402377853458802</v>
      </c>
    </row>
    <row r="142" spans="1:11" ht="17" x14ac:dyDescent="0.2">
      <c r="A142" s="2" t="s">
        <v>149</v>
      </c>
      <c r="B142" s="2" t="s">
        <v>169</v>
      </c>
      <c r="C142" s="2" t="s">
        <v>313</v>
      </c>
      <c r="D142" s="5"/>
      <c r="E142" s="3" t="s">
        <v>296</v>
      </c>
      <c r="F142" s="3" t="s">
        <v>296</v>
      </c>
      <c r="G142" s="3" t="s">
        <v>296</v>
      </c>
      <c r="H142" s="3" t="s">
        <v>296</v>
      </c>
      <c r="I142" s="3" t="s">
        <v>286</v>
      </c>
      <c r="J142" s="7" t="s">
        <v>386</v>
      </c>
      <c r="K142" s="9">
        <v>475.17022869324802</v>
      </c>
    </row>
    <row r="143" spans="1:11" ht="34" x14ac:dyDescent="0.2">
      <c r="A143" s="2" t="s">
        <v>150</v>
      </c>
      <c r="B143" s="2" t="s">
        <v>169</v>
      </c>
      <c r="C143" s="2" t="s">
        <v>313</v>
      </c>
      <c r="D143" s="5"/>
      <c r="E143" s="3" t="s">
        <v>296</v>
      </c>
      <c r="F143" s="3" t="s">
        <v>296</v>
      </c>
      <c r="G143" s="3" t="s">
        <v>296</v>
      </c>
      <c r="H143" s="3" t="s">
        <v>296</v>
      </c>
      <c r="I143" s="3" t="s">
        <v>282</v>
      </c>
      <c r="J143" s="7" t="s">
        <v>381</v>
      </c>
      <c r="K143" s="9">
        <v>52603.442555039597</v>
      </c>
    </row>
    <row r="144" spans="1:11" ht="17" x14ac:dyDescent="0.2">
      <c r="A144" s="2" t="s">
        <v>151</v>
      </c>
      <c r="B144" s="2" t="s">
        <v>169</v>
      </c>
      <c r="C144" s="2" t="s">
        <v>313</v>
      </c>
      <c r="D144" s="5"/>
      <c r="E144" s="3" t="s">
        <v>296</v>
      </c>
      <c r="F144" s="3" t="s">
        <v>296</v>
      </c>
      <c r="G144" s="3" t="s">
        <v>296</v>
      </c>
      <c r="H144" s="3" t="s">
        <v>296</v>
      </c>
      <c r="I144" s="3" t="s">
        <v>283</v>
      </c>
      <c r="J144" s="7" t="s">
        <v>382</v>
      </c>
      <c r="K144" s="9">
        <v>10590.693483351901</v>
      </c>
    </row>
    <row r="145" spans="1:11" ht="34" x14ac:dyDescent="0.2">
      <c r="A145" s="2" t="s">
        <v>152</v>
      </c>
      <c r="B145" s="2" t="s">
        <v>169</v>
      </c>
      <c r="C145" s="2" t="s">
        <v>313</v>
      </c>
      <c r="D145" s="5"/>
      <c r="E145" s="3" t="s">
        <v>296</v>
      </c>
      <c r="F145" s="3" t="s">
        <v>296</v>
      </c>
      <c r="G145" s="3" t="s">
        <v>296</v>
      </c>
      <c r="H145" s="3" t="s">
        <v>296</v>
      </c>
      <c r="I145" s="3" t="s">
        <v>284</v>
      </c>
      <c r="J145" s="7" t="s">
        <v>387</v>
      </c>
      <c r="K145" s="9">
        <v>2301.1650942044498</v>
      </c>
    </row>
    <row r="146" spans="1:11" ht="17" x14ac:dyDescent="0.2">
      <c r="A146" s="2" t="s">
        <v>153</v>
      </c>
      <c r="B146" s="2" t="s">
        <v>169</v>
      </c>
      <c r="C146" s="2" t="s">
        <v>313</v>
      </c>
      <c r="D146" s="5"/>
      <c r="E146" s="3" t="s">
        <v>296</v>
      </c>
      <c r="F146" s="3" t="s">
        <v>297</v>
      </c>
      <c r="G146" s="3" t="s">
        <v>296</v>
      </c>
      <c r="H146" s="3" t="s">
        <v>296</v>
      </c>
      <c r="I146" s="3" t="s">
        <v>193</v>
      </c>
      <c r="J146" s="7" t="s">
        <v>399</v>
      </c>
      <c r="K146" s="9">
        <v>1390.98967905633</v>
      </c>
    </row>
    <row r="147" spans="1:11" ht="17" x14ac:dyDescent="0.2">
      <c r="A147" s="2" t="s">
        <v>154</v>
      </c>
      <c r="B147" s="2" t="s">
        <v>169</v>
      </c>
      <c r="C147" s="2" t="s">
        <v>313</v>
      </c>
      <c r="D147" s="5"/>
      <c r="E147" s="3" t="s">
        <v>296</v>
      </c>
      <c r="F147" s="3" t="s">
        <v>297</v>
      </c>
      <c r="G147" s="3" t="s">
        <v>296</v>
      </c>
      <c r="H147" s="3" t="s">
        <v>296</v>
      </c>
      <c r="I147" s="3" t="s">
        <v>285</v>
      </c>
      <c r="J147" s="7" t="s">
        <v>389</v>
      </c>
      <c r="K147" s="10">
        <v>42513.588542116398</v>
      </c>
    </row>
    <row r="148" spans="1:11" ht="17" x14ac:dyDescent="0.2">
      <c r="A148" s="2" t="s">
        <v>155</v>
      </c>
      <c r="B148" s="2" t="s">
        <v>169</v>
      </c>
      <c r="C148" s="2" t="s">
        <v>313</v>
      </c>
      <c r="D148" s="5"/>
      <c r="E148" s="3" t="s">
        <v>296</v>
      </c>
      <c r="F148" s="3" t="s">
        <v>296</v>
      </c>
      <c r="G148" s="3" t="s">
        <v>296</v>
      </c>
      <c r="H148" s="3" t="s">
        <v>296</v>
      </c>
      <c r="I148" s="3" t="s">
        <v>289</v>
      </c>
      <c r="J148" s="7" t="s">
        <v>409</v>
      </c>
      <c r="K148" s="9">
        <v>110904.080405257</v>
      </c>
    </row>
    <row r="149" spans="1:11" ht="17" x14ac:dyDescent="0.2">
      <c r="A149" s="2" t="s">
        <v>156</v>
      </c>
      <c r="B149" s="2" t="s">
        <v>169</v>
      </c>
      <c r="C149" s="2" t="s">
        <v>313</v>
      </c>
      <c r="D149" s="5"/>
      <c r="E149" s="3" t="s">
        <v>296</v>
      </c>
      <c r="F149" s="3" t="s">
        <v>297</v>
      </c>
      <c r="G149" s="3" t="s">
        <v>296</v>
      </c>
      <c r="H149" s="3" t="s">
        <v>296</v>
      </c>
      <c r="I149" s="3" t="s">
        <v>290</v>
      </c>
      <c r="J149" s="7" t="s">
        <v>405</v>
      </c>
      <c r="K149" s="9">
        <v>71.436928596104806</v>
      </c>
    </row>
    <row r="150" spans="1:11" ht="17" x14ac:dyDescent="0.2">
      <c r="A150" s="2" t="s">
        <v>157</v>
      </c>
      <c r="B150" s="2" t="s">
        <v>169</v>
      </c>
      <c r="C150" s="2" t="s">
        <v>313</v>
      </c>
      <c r="D150" s="5"/>
      <c r="E150" s="3" t="s">
        <v>296</v>
      </c>
      <c r="F150" s="3" t="s">
        <v>297</v>
      </c>
      <c r="G150" s="3" t="s">
        <v>296</v>
      </c>
      <c r="H150" s="3" t="s">
        <v>296</v>
      </c>
      <c r="I150" s="3" t="s">
        <v>291</v>
      </c>
      <c r="J150" s="7" t="s">
        <v>408</v>
      </c>
      <c r="K150" s="9">
        <v>73.787994313092597</v>
      </c>
    </row>
    <row r="151" spans="1:11" ht="17" x14ac:dyDescent="0.2">
      <c r="A151" s="2" t="s">
        <v>158</v>
      </c>
      <c r="B151" s="2" t="s">
        <v>169</v>
      </c>
      <c r="C151" s="2" t="s">
        <v>313</v>
      </c>
      <c r="D151" s="5"/>
      <c r="E151" s="3" t="s">
        <v>296</v>
      </c>
      <c r="F151" s="3" t="s">
        <v>296</v>
      </c>
      <c r="G151" s="3" t="s">
        <v>296</v>
      </c>
      <c r="H151" s="3" t="s">
        <v>297</v>
      </c>
      <c r="I151" s="3" t="s">
        <v>292</v>
      </c>
      <c r="J151" s="7" t="s">
        <v>404</v>
      </c>
      <c r="K151" s="9">
        <v>58329.899572894603</v>
      </c>
    </row>
    <row r="152" spans="1:11" ht="34" x14ac:dyDescent="0.2">
      <c r="A152" s="2" t="s">
        <v>159</v>
      </c>
      <c r="B152" s="2" t="s">
        <v>169</v>
      </c>
      <c r="C152" s="2" t="s">
        <v>313</v>
      </c>
      <c r="D152" s="5"/>
      <c r="E152" s="3" t="s">
        <v>296</v>
      </c>
      <c r="F152" s="3" t="s">
        <v>296</v>
      </c>
      <c r="G152" s="3" t="s">
        <v>296</v>
      </c>
      <c r="H152" s="3" t="s">
        <v>296</v>
      </c>
      <c r="I152" s="3" t="s">
        <v>287</v>
      </c>
      <c r="J152" s="7" t="s">
        <v>410</v>
      </c>
      <c r="K152" s="9">
        <v>899.08268648057799</v>
      </c>
    </row>
    <row r="153" spans="1:11" ht="17" x14ac:dyDescent="0.2">
      <c r="A153" s="2" t="s">
        <v>160</v>
      </c>
      <c r="B153" s="2" t="s">
        <v>169</v>
      </c>
      <c r="C153" s="2" t="s">
        <v>313</v>
      </c>
      <c r="D153" s="5"/>
      <c r="E153" s="3" t="s">
        <v>296</v>
      </c>
      <c r="F153" s="3" t="s">
        <v>296</v>
      </c>
      <c r="G153" s="3" t="s">
        <v>296</v>
      </c>
      <c r="H153" s="3" t="s">
        <v>296</v>
      </c>
      <c r="I153" s="3" t="s">
        <v>288</v>
      </c>
      <c r="J153" s="7" t="s">
        <v>406</v>
      </c>
      <c r="K153" s="9">
        <v>43.383302519946099</v>
      </c>
    </row>
    <row r="154" spans="1:11" ht="17" x14ac:dyDescent="0.2">
      <c r="A154" s="3" t="s">
        <v>161</v>
      </c>
      <c r="B154" s="3" t="s">
        <v>166</v>
      </c>
      <c r="C154" s="3" t="s">
        <v>482</v>
      </c>
      <c r="D154" s="5"/>
      <c r="E154" s="3" t="s">
        <v>296</v>
      </c>
      <c r="F154" s="3" t="s">
        <v>297</v>
      </c>
      <c r="G154" s="3" t="s">
        <v>296</v>
      </c>
      <c r="H154" s="3" t="s">
        <v>297</v>
      </c>
      <c r="I154" s="3" t="s">
        <v>10</v>
      </c>
      <c r="J154" s="7" t="s">
        <v>471</v>
      </c>
      <c r="K154" s="8">
        <v>0.8</v>
      </c>
    </row>
    <row r="155" spans="1:11" ht="17" x14ac:dyDescent="0.2">
      <c r="A155" s="3" t="s">
        <v>162</v>
      </c>
      <c r="B155" s="3" t="s">
        <v>166</v>
      </c>
      <c r="C155" s="3" t="s">
        <v>481</v>
      </c>
      <c r="D155" s="5"/>
      <c r="E155" s="3" t="s">
        <v>296</v>
      </c>
      <c r="F155" s="3" t="s">
        <v>296</v>
      </c>
      <c r="G155" s="3" t="s">
        <v>297</v>
      </c>
      <c r="H155" s="3" t="s">
        <v>10</v>
      </c>
      <c r="I155" s="3" t="s">
        <v>195</v>
      </c>
      <c r="J155" s="7" t="s">
        <v>407</v>
      </c>
      <c r="K155" s="9">
        <v>230.64079147299</v>
      </c>
    </row>
    <row r="156" spans="1:11" ht="17" x14ac:dyDescent="0.2">
      <c r="A156" s="3" t="s">
        <v>163</v>
      </c>
      <c r="B156" s="3" t="s">
        <v>166</v>
      </c>
      <c r="C156" s="3" t="s">
        <v>481</v>
      </c>
      <c r="D156" s="5"/>
      <c r="E156" s="3" t="s">
        <v>297</v>
      </c>
      <c r="F156" s="3" t="s">
        <v>10</v>
      </c>
      <c r="G156" s="3" t="s">
        <v>297</v>
      </c>
      <c r="H156" s="3" t="s">
        <v>10</v>
      </c>
      <c r="I156" s="3" t="s">
        <v>10</v>
      </c>
      <c r="J156" s="7" t="s">
        <v>413</v>
      </c>
      <c r="K156" s="3">
        <v>0.14000000000000001</v>
      </c>
    </row>
    <row r="157" spans="1:11" x14ac:dyDescent="0.2">
      <c r="A157" t="s">
        <v>317</v>
      </c>
    </row>
    <row r="158" spans="1:11" x14ac:dyDescent="0.2">
      <c r="A158" t="s">
        <v>318</v>
      </c>
    </row>
    <row r="159" spans="1:11" x14ac:dyDescent="0.2">
      <c r="A159" t="s">
        <v>319</v>
      </c>
    </row>
  </sheetData>
  <hyperlinks>
    <hyperlink ref="J102" r:id="rId1" display="https://dataview.ncbi.nlm.nih.gov/object/SRR30712328" xr:uid="{C0D723B7-8EC8-9C49-BAF3-325A62677CB1}"/>
    <hyperlink ref="J30" r:id="rId2" display="https://dataview.ncbi.nlm.nih.gov/object/SRR30712319" xr:uid="{67952192-CB2D-804D-B223-0F8D73323348}"/>
    <hyperlink ref="J24" r:id="rId3" display="https://dataview.ncbi.nlm.nih.gov/object/SRR30712325" xr:uid="{0571DBE3-B1C6-0F43-A8B7-38C54974FD80}"/>
    <hyperlink ref="J32" r:id="rId4" display="https://dataview.ncbi.nlm.nih.gov/object/SRR30712316" xr:uid="{D7180856-97CC-954E-8754-D9C02162DB8B}"/>
    <hyperlink ref="J29" r:id="rId5" display="https://dataview.ncbi.nlm.nih.gov/object/SRR30712320" xr:uid="{4FDB79F7-6B4B-D545-B273-D69B70177C12}"/>
    <hyperlink ref="J26" r:id="rId6" display="https://dataview.ncbi.nlm.nih.gov/object/SRR30712323" xr:uid="{BA331D62-1539-BD47-BCE9-E5E95E94EB54}"/>
    <hyperlink ref="J23" r:id="rId7" display="https://dataview.ncbi.nlm.nih.gov/object/SRR30712326" xr:uid="{37AB0D3C-4F56-DD48-AD32-AFDDD15719A3}"/>
    <hyperlink ref="J5" r:id="rId8" display="https://dataview.ncbi.nlm.nih.gov/object/SRR30712317" xr:uid="{A5864075-968C-4B4C-8BE6-29035B722D67}"/>
    <hyperlink ref="J28" r:id="rId9" display="https://dataview.ncbi.nlm.nih.gov/object/SRR30712321" xr:uid="{53A94E15-A49F-5C43-96A2-31919C511CE6}"/>
    <hyperlink ref="J31" r:id="rId10" display="https://dataview.ncbi.nlm.nih.gov/object/SRR30712318" xr:uid="{979B05E2-BE01-8845-B175-DEF9F7090F84}"/>
    <hyperlink ref="J22" r:id="rId11" display="https://dataview.ncbi.nlm.nih.gov/object/SRR30712327" xr:uid="{D75BD6F7-A733-D74B-9377-4E515D4E4B64}"/>
    <hyperlink ref="J25" r:id="rId12" display="https://dataview.ncbi.nlm.nih.gov/object/SRR30712324" xr:uid="{9E753F84-F0F8-554D-8DEA-AEB2DB18A13B}"/>
    <hyperlink ref="J2" r:id="rId13" display="https://dataview.ncbi.nlm.nih.gov/object/SRR30712331" xr:uid="{903CAE63-4685-4B4E-9EB0-3AA29B07E2EF}"/>
    <hyperlink ref="J27" r:id="rId14" display="https://dataview.ncbi.nlm.nih.gov/object/SRR30712322" xr:uid="{4171B0B3-D06C-4B47-BB46-A70955C74C39}"/>
    <hyperlink ref="J12" r:id="rId15" display="https://dataview.ncbi.nlm.nih.gov/object/SRR30712329" xr:uid="{6541833D-4591-B644-B491-E5AE02CADFCA}"/>
    <hyperlink ref="J3" r:id="rId16" display="https://dataview.ncbi.nlm.nih.gov/object/SRR30712330" xr:uid="{3E71F01E-17F1-AC48-B4BF-98EE706EE752}"/>
    <hyperlink ref="J40" r:id="rId17" display="https://dataview.ncbi.nlm.nih.gov/object/SRR30712308" xr:uid="{9D18BDF6-BF75-9B49-9AA2-C51F834DD485}"/>
    <hyperlink ref="J34" r:id="rId18" display="https://dataview.ncbi.nlm.nih.gov/object/SRR30712314" xr:uid="{A2A00026-1D28-074C-A68C-ACD897F6E658}"/>
    <hyperlink ref="J48" r:id="rId19" display="https://dataview.ncbi.nlm.nih.gov/object/SRR30712299" xr:uid="{834262CC-BB49-814C-927E-E5678BDAF8AD}"/>
    <hyperlink ref="J33" r:id="rId20" display="https://dataview.ncbi.nlm.nih.gov/object/SRR30712315" xr:uid="{00056ADF-13B6-0144-9689-3BEA0BA23962}"/>
    <hyperlink ref="J110" r:id="rId21" display="https://dataview.ncbi.nlm.nih.gov/object/SRR30712289" xr:uid="{B7C97311-0FB2-0642-95FD-48D71E835BDA}"/>
    <hyperlink ref="J104" r:id="rId22" display="https://dataview.ncbi.nlm.nih.gov/object/SRR30712295" xr:uid="{618C72BF-42D6-6A49-AE5B-38966A5711F8}"/>
    <hyperlink ref="J108" r:id="rId23" display="https://dataview.ncbi.nlm.nih.gov/object/SRR30712291" xr:uid="{5B5EF9A2-9B32-8D46-B2A7-09985FD66104}"/>
    <hyperlink ref="J106" r:id="rId24" display="https://dataview.ncbi.nlm.nih.gov/object/SRR30712293" xr:uid="{53DD6B17-525A-B440-AF36-593012D7BFC3}"/>
    <hyperlink ref="J103" r:id="rId25" display="https://dataview.ncbi.nlm.nih.gov/object/SRR30712296" xr:uid="{CE36B224-FC5F-A346-BBC2-02B901083FE9}"/>
    <hyperlink ref="J107" r:id="rId26" display="https://dataview.ncbi.nlm.nih.gov/object/SRR30712292" xr:uid="{38A2625B-AFC3-864C-A883-5CFA9924A874}"/>
    <hyperlink ref="J109" r:id="rId27" display="https://dataview.ncbi.nlm.nih.gov/object/SRR30712290" xr:uid="{10F32105-299E-3A4B-A5A8-94C09780DE1C}"/>
    <hyperlink ref="J35" r:id="rId28" display="https://dataview.ncbi.nlm.nih.gov/object/SRR30712313" xr:uid="{BDC4B040-AB99-0146-9832-8773CF89F128}"/>
    <hyperlink ref="J42" r:id="rId29" display="https://dataview.ncbi.nlm.nih.gov/object/SRR30712305" xr:uid="{D2AD6DE2-6D80-F44C-AD85-0E686D41E675}"/>
    <hyperlink ref="J36" r:id="rId30" display="https://dataview.ncbi.nlm.nih.gov/object/SRR30712312" xr:uid="{ABA062AD-B776-2F41-AFF7-9357EA40753E}"/>
    <hyperlink ref="J46" r:id="rId31" display="https://dataview.ncbi.nlm.nih.gov/object/SRR30712301" xr:uid="{CC47ECA2-760F-B248-B0C3-E3701E98B3D5}"/>
    <hyperlink ref="J45" r:id="rId32" display="https://dataview.ncbi.nlm.nih.gov/object/SRR30712302" xr:uid="{F68343A6-0534-0F48-A4E6-9ED2A175EC1E}"/>
    <hyperlink ref="J44" r:id="rId33" display="https://dataview.ncbi.nlm.nih.gov/object/SRR30712303" xr:uid="{DFB60D3C-FF4F-264E-A081-5365C063E7F6}"/>
    <hyperlink ref="J41" r:id="rId34" display="https://dataview.ncbi.nlm.nih.gov/object/SRR30712307" xr:uid="{A5AFEDDA-73D2-5A42-97EC-D5DFBACA5BA5}"/>
    <hyperlink ref="J6" r:id="rId35" display="https://dataview.ncbi.nlm.nih.gov/object/SRR30712306" xr:uid="{A6DF4EAC-8A55-FA44-84DE-F9C2E8F8E96C}"/>
    <hyperlink ref="J43" r:id="rId36" display="https://dataview.ncbi.nlm.nih.gov/object/SRR30712304" xr:uid="{AACBC8E1-BE2F-CB49-9E1B-9B62F0CD1FF8}"/>
    <hyperlink ref="J37" r:id="rId37" display="https://dataview.ncbi.nlm.nih.gov/object/SRR30712311" xr:uid="{A374D187-2D63-9F41-ADB2-2641C83B98D6}"/>
    <hyperlink ref="J38" r:id="rId38" display="https://dataview.ncbi.nlm.nih.gov/object/SRR30712310" xr:uid="{F061503A-9605-2B42-849B-01FBC4410456}"/>
    <hyperlink ref="J47" r:id="rId39" display="https://dataview.ncbi.nlm.nih.gov/object/SRR30712300" xr:uid="{770363B1-575F-2A41-8EF7-4D2751AD2E00}"/>
    <hyperlink ref="J39" r:id="rId40" display="https://dataview.ncbi.nlm.nih.gov/object/SRR30712309" xr:uid="{66599A63-4BAC-AE49-B474-453B5CAABF91}"/>
    <hyperlink ref="J105" r:id="rId41" display="https://dataview.ncbi.nlm.nih.gov/object/SRR30712294" xr:uid="{0B1FA900-5EC2-8946-9B29-FBE479B9F7A3}"/>
    <hyperlink ref="J49" r:id="rId42" display="https://dataview.ncbi.nlm.nih.gov/object/SRR30712298" xr:uid="{2235CF99-5E7D-A745-B982-6AEC4D34D8FD}"/>
    <hyperlink ref="J113" r:id="rId43" display="https://dataview.ncbi.nlm.nih.gov/object/SRR30712285" xr:uid="{24B0C247-7A51-8D42-A13F-F39FF01221CA}"/>
    <hyperlink ref="J50" r:id="rId44" display="https://dataview.ncbi.nlm.nih.gov/object/SRR30712297" xr:uid="{A2ED98B0-BA85-F444-BC78-D7430540BBB3}"/>
    <hyperlink ref="J111" r:id="rId45" display="https://dataview.ncbi.nlm.nih.gov/object/SRR30712288" xr:uid="{EFD9492B-21DE-2149-9F46-F5D592CF130D}"/>
    <hyperlink ref="J13" r:id="rId46" display="https://dataview.ncbi.nlm.nih.gov/object/SRR30712287" xr:uid="{15D8E40E-0BD2-F14B-871B-41D0A8671472}"/>
    <hyperlink ref="J114" r:id="rId47" display="https://dataview.ncbi.nlm.nih.gov/object/SRR30712284" xr:uid="{0338B595-7679-AA40-AE07-D8E8A954AA4E}"/>
    <hyperlink ref="J112" r:id="rId48" display="https://dataview.ncbi.nlm.nih.gov/object/SRR30712286" xr:uid="{0CE117DA-3E18-2045-9C75-4F60B9181CE2}"/>
    <hyperlink ref="J122" r:id="rId49" display="https://dataview.ncbi.nlm.nih.gov/object/SRR30712275" xr:uid="{A8A605C7-91C7-FF4F-8C61-4E86CACCB48A}"/>
    <hyperlink ref="J132" r:id="rId50" display="https://dataview.ncbi.nlm.nih.gov/object/SRR30712264" xr:uid="{0258A5B9-5404-7940-A8DB-D27DA5B62466}"/>
    <hyperlink ref="J130" r:id="rId51" display="https://dataview.ncbi.nlm.nih.gov/object/SRR30712267" xr:uid="{799AEEED-7A5A-B942-9891-7914A6F5817C}"/>
    <hyperlink ref="J123" r:id="rId52" display="https://dataview.ncbi.nlm.nih.gov/object/SRR30712274" xr:uid="{BDFB4D71-CE49-1C49-B992-9EAD14B127FC}"/>
    <hyperlink ref="J127" r:id="rId53" display="https://dataview.ncbi.nlm.nih.gov/object/SRR30712270" xr:uid="{15A00D1E-B044-A24D-8CD1-AF3EECA86556}"/>
    <hyperlink ref="J118" r:id="rId54" display="https://dataview.ncbi.nlm.nih.gov/object/SRR30712280" xr:uid="{6E719E35-048A-374F-89BD-303D9C0FE05E}"/>
    <hyperlink ref="J120" r:id="rId55" display="https://dataview.ncbi.nlm.nih.gov/object/SRR30712278" xr:uid="{2DEEA54D-8773-5942-AD08-4C42D4E4B94F}"/>
    <hyperlink ref="J131" r:id="rId56" display="https://dataview.ncbi.nlm.nih.gov/object/SRR30712266" xr:uid="{AB58A0E1-D10E-FC4F-8EA9-B1C671BFF438}"/>
    <hyperlink ref="J121" r:id="rId57" display="https://dataview.ncbi.nlm.nih.gov/object/SRR30712277" xr:uid="{7ADD0A2D-CFC6-5B4D-9860-A856D39F2117}"/>
    <hyperlink ref="J124" r:id="rId58" display="https://dataview.ncbi.nlm.nih.gov/object/SRR30712273" xr:uid="{7D88C6F2-9605-9B40-B819-B66B41B3095A}"/>
    <hyperlink ref="J126" r:id="rId59" display="https://dataview.ncbi.nlm.nih.gov/object/SRR30712271" xr:uid="{9D65D89B-D49F-4941-AF57-111842A80CCC}"/>
    <hyperlink ref="J128" r:id="rId60" display="https://dataview.ncbi.nlm.nih.gov/object/SRR30712269" xr:uid="{AACDDBA1-A3AE-7747-83CA-A33660EF0540}"/>
    <hyperlink ref="J140" r:id="rId61" display="https://dataview.ncbi.nlm.nih.gov/object/SRR30712256" xr:uid="{85348E73-61D7-4943-A5A8-E3647F2E9C2D}"/>
    <hyperlink ref="J143" r:id="rId62" display="https://dataview.ncbi.nlm.nih.gov/object/SRR30712252" xr:uid="{7CA3DEF5-5A6D-6741-9FA7-DD9CFC203779}"/>
    <hyperlink ref="J144" r:id="rId63" display="https://dataview.ncbi.nlm.nih.gov/object/SRR30712251" xr:uid="{A483BD6A-04C4-DE4C-8BD8-3066A820E58B}"/>
    <hyperlink ref="J139" r:id="rId64" display="https://dataview.ncbi.nlm.nih.gov/object/SRR30712257" xr:uid="{4F346A91-6C2F-F246-B30C-A45F738B0A92}"/>
    <hyperlink ref="J138" r:id="rId65" display="https://dataview.ncbi.nlm.nih.gov/object/SRR30712258" xr:uid="{604DCA4F-DC7F-1D45-8824-23617790E050}"/>
    <hyperlink ref="J137" r:id="rId66" display="https://dataview.ncbi.nlm.nih.gov/object/SRR30712259" xr:uid="{134E066D-9880-DF4F-A39E-C10CCDCBFE87}"/>
    <hyperlink ref="J142" r:id="rId67" display="https://dataview.ncbi.nlm.nih.gov/object/SRR30712253" xr:uid="{47234752-983F-D94F-BADA-A38CBCABF757}"/>
    <hyperlink ref="J145" r:id="rId68" display="https://dataview.ncbi.nlm.nih.gov/object/SRR30712250" xr:uid="{6C42EB38-3256-B04E-813B-170E0B987ED0}"/>
    <hyperlink ref="J134" r:id="rId69" display="https://dataview.ncbi.nlm.nih.gov/object/SRR30712262" xr:uid="{174DC7A6-EA70-E746-8B78-C55BD7377D23}"/>
    <hyperlink ref="J147" r:id="rId70" display="https://dataview.ncbi.nlm.nih.gov/object/SRR30712248" xr:uid="{101D83DB-F6B7-2D41-A33E-47529952550C}"/>
    <hyperlink ref="J141" r:id="rId71" display="https://dataview.ncbi.nlm.nih.gov/object/SRR30712255" xr:uid="{05C04A16-E54E-C543-8070-CEEA7B6426B2}"/>
    <hyperlink ref="J16" r:id="rId72" display="https://dataview.ncbi.nlm.nih.gov/object/SRR30712254" xr:uid="{F1C19589-613D-4D4E-B883-089B575D4887}"/>
    <hyperlink ref="J117" r:id="rId73" display="https://dataview.ncbi.nlm.nih.gov/object/SRR30712281" xr:uid="{CC974729-5611-F640-A015-1298BCB39FC7}"/>
    <hyperlink ref="J125" r:id="rId74" display="https://dataview.ncbi.nlm.nih.gov/object/SRR30712272" xr:uid="{97154012-F56F-4F47-A0EB-FC6CCC038C05}"/>
    <hyperlink ref="J119" r:id="rId75" display="https://dataview.ncbi.nlm.nih.gov/object/SRR30712279" xr:uid="{76D67570-F986-B74F-9C23-AA223702267C}"/>
    <hyperlink ref="J15" r:id="rId76" display="https://dataview.ncbi.nlm.nih.gov/object/SRR30712265" xr:uid="{E5FB5055-8431-4948-8EB4-DAA62375C989}"/>
    <hyperlink ref="J115" r:id="rId77" display="https://dataview.ncbi.nlm.nih.gov/object/SRR30712283" xr:uid="{579D815F-CCAB-9E48-978C-5AF166B09A29}"/>
    <hyperlink ref="J129" r:id="rId78" display="https://dataview.ncbi.nlm.nih.gov/object/SRR30712268" xr:uid="{379040BF-1AEC-FC49-8DE3-8A1A661D2C6F}"/>
    <hyperlink ref="J116" r:id="rId79" display="https://dataview.ncbi.nlm.nih.gov/object/SRR30712282" xr:uid="{2BF43566-0620-DB47-9071-734158CA1AA5}"/>
    <hyperlink ref="J14" r:id="rId80" display="https://dataview.ncbi.nlm.nih.gov/object/SRR30712276" xr:uid="{2F971114-1781-4D45-A917-0D41C88D7AA2}"/>
    <hyperlink ref="J146" r:id="rId81" display="https://dataview.ncbi.nlm.nih.gov/object/SRR30712276" xr:uid="{6CF49D67-7D46-8B41-A7E0-3A61BB0174F3}"/>
    <hyperlink ref="J135" r:id="rId82" display="https://dataview.ncbi.nlm.nih.gov/object/SRR30712261" xr:uid="{C1C94D08-7CAA-B747-9CC1-974AD5661B7B}"/>
    <hyperlink ref="J133" r:id="rId83" display="https://dataview.ncbi.nlm.nih.gov/object/SRR30712263" xr:uid="{A3DAC159-0B76-E749-8BBB-C6060F23B091}"/>
    <hyperlink ref="J136" r:id="rId84" display="https://dataview.ncbi.nlm.nih.gov/object/SRR30712260" xr:uid="{2C6937CD-2F13-424C-A0D3-3442323AB34D}"/>
    <hyperlink ref="J18" r:id="rId85" display="https://dataview.ncbi.nlm.nih.gov/object/SRR30712237" xr:uid="{C24D4ACA-3541-D049-88D9-0C6887CA598C}"/>
    <hyperlink ref="J151" r:id="rId86" display="https://dataview.ncbi.nlm.nih.gov/object/SRR30712244" xr:uid="{381F5577-EF5F-444D-9684-1240C98639FA}"/>
    <hyperlink ref="J149" r:id="rId87" display="https://dataview.ncbi.nlm.nih.gov/object/SRR30712246" xr:uid="{9A515F5F-EBBA-2044-BF9C-163D51AE6008}"/>
    <hyperlink ref="J153" r:id="rId88" display="https://dataview.ncbi.nlm.nih.gov/object/SRR30712241" xr:uid="{5BFA66A4-2662-FB4F-890A-D245986BDDA4}"/>
    <hyperlink ref="J155" r:id="rId89" display="https://dataview.ncbi.nlm.nih.gov/object/SRR30712239" xr:uid="{1C816ECB-47C7-CD4A-9499-69ECF6EB68A9}"/>
    <hyperlink ref="J150" r:id="rId90" display="https://dataview.ncbi.nlm.nih.gov/object/SRR30712245" xr:uid="{B50CE72E-E898-574C-99DC-2BE01BA72C71}"/>
    <hyperlink ref="J148" r:id="rId91" display="https://dataview.ncbi.nlm.nih.gov/object/SRR30712247" xr:uid="{DB63E9B7-6E0D-624F-9261-2791A4B8FA94}"/>
    <hyperlink ref="J152" r:id="rId92" display="https://dataview.ncbi.nlm.nih.gov/object/SRR30712242" xr:uid="{56FDDC65-E098-7A45-8835-43E3B70376D6}"/>
    <hyperlink ref="J21" r:id="rId93" display="https://dataview.ncbi.nlm.nih.gov/object/SRR30712234" xr:uid="{AEC88B81-3F15-9547-BC80-5F61940349E1}"/>
    <hyperlink ref="J51" r:id="rId94" display="https://dataview.ncbi.nlm.nih.gov/object/SRR30712233" xr:uid="{52BF0FC1-BD40-4E4B-ADB8-10ECDB340E7F}"/>
    <hyperlink ref="J156" r:id="rId95" display="https://dataview.ncbi.nlm.nih.gov/object/SRR30712238" xr:uid="{E274EECC-2FF1-454A-9D6F-B25BA2320C5C}"/>
    <hyperlink ref="J20" r:id="rId96" display="https://dataview.ncbi.nlm.nih.gov/object/SRR30712235" xr:uid="{B5686599-F987-BF40-9BD1-5B1CC52B5A55}"/>
    <hyperlink ref="J17" r:id="rId97" display="https://dataview.ncbi.nlm.nih.gov/object/SRR30712243" xr:uid="{9827AE51-CD2C-594B-9D2B-74DA832FC276}"/>
    <hyperlink ref="J19" r:id="rId98" display="https://dataview.ncbi.nlm.nih.gov/object/SRR30712243" xr:uid="{2504BFCC-ABEA-4644-B699-D89BEF4842D1}"/>
    <hyperlink ref="J62" r:id="rId99" display="https://dataview.ncbi.nlm.nih.gov/object/SRR30712219" xr:uid="{08E6A5D5-A73E-9B45-8893-8041FB8957DF}"/>
    <hyperlink ref="J72" r:id="rId100" display="https://dataview.ncbi.nlm.nih.gov/object/SRR30712208" xr:uid="{4469F2DB-C1DA-A244-8158-E435AB6B200F}"/>
    <hyperlink ref="J67" r:id="rId101" display="https://dataview.ncbi.nlm.nih.gov/object/SRR30712214" xr:uid="{DDD20A37-08C7-FE41-AE95-9AA2FF3BD633}"/>
    <hyperlink ref="J70" r:id="rId102" display="https://dataview.ncbi.nlm.nih.gov/object/SRR30712214" xr:uid="{23C804B5-5369-C943-90A6-E7B6EE3ECD00}"/>
    <hyperlink ref="J74" r:id="rId103" display="https://dataview.ncbi.nlm.nih.gov/object/SRR30712206" xr:uid="{14023E8F-03FB-F04D-90B5-8D9E1B5D985A}"/>
    <hyperlink ref="J75" r:id="rId104" display="https://dataview.ncbi.nlm.nih.gov/object/SRR30712205" xr:uid="{BE66C400-37B0-B24E-97D5-4C5096CB2702}"/>
    <hyperlink ref="J56" r:id="rId105" display="https://dataview.ncbi.nlm.nih.gov/object/SRR30712226" xr:uid="{203E8991-A555-884D-9D3D-649D9FB7C046}"/>
    <hyperlink ref="J61" r:id="rId106" display="https://dataview.ncbi.nlm.nih.gov/object/SRR30712221" xr:uid="{BA3F2459-E399-5948-A20A-2354D35FA9DA}"/>
    <hyperlink ref="J58" r:id="rId107" display="https://dataview.ncbi.nlm.nih.gov/object/SRR30712224" xr:uid="{CBFB8C2F-BB2E-524F-AE10-5F20F85F1B96}"/>
    <hyperlink ref="J52" r:id="rId108" display="https://dataview.ncbi.nlm.nih.gov/object/SRR30712230" xr:uid="{16AE7089-B86F-344E-B2D4-F82E633817CE}"/>
    <hyperlink ref="J59" r:id="rId109" display="https://dataview.ncbi.nlm.nih.gov/object/SRR30712223" xr:uid="{C26CCED6-92BD-9D48-A29A-3009FA539E32}"/>
    <hyperlink ref="J7" r:id="rId110" display="https://dataview.ncbi.nlm.nih.gov/object/SRR30712231" xr:uid="{CB188181-27EC-2F46-8DD5-1F93AFF5845D}"/>
    <hyperlink ref="J64" r:id="rId111" display="https://dataview.ncbi.nlm.nih.gov/object/SRR30712217" xr:uid="{8CAFB04C-CBD8-2A4B-9F5A-4F5E385AC74E}"/>
    <hyperlink ref="J8" r:id="rId112" display="https://dataview.ncbi.nlm.nih.gov/object/SRR30712220" xr:uid="{8FBBB9F6-F17A-AA4A-BED1-0DA62D8AFC25}"/>
    <hyperlink ref="J57" r:id="rId113" display="https://dataview.ncbi.nlm.nih.gov/object/SRR30712225" xr:uid="{CF08343D-CE77-BB4D-84EA-77A96AA67DC8}"/>
    <hyperlink ref="J63" r:id="rId114" display="https://dataview.ncbi.nlm.nih.gov/object/SRR30712218" xr:uid="{FFEC0B2E-00C4-734F-9B7E-0A3F20B1CE6F}"/>
    <hyperlink ref="J55" r:id="rId115" display="https://dataview.ncbi.nlm.nih.gov/object/SRR30712227" xr:uid="{EF349F93-AD37-2744-B8B5-002DF97106E3}"/>
    <hyperlink ref="J54" r:id="rId116" display="https://dataview.ncbi.nlm.nih.gov/object/SRR30712228" xr:uid="{99B03EA8-02F3-284E-BF13-9F565F006BC0}"/>
    <hyperlink ref="J53" r:id="rId117" display="https://dataview.ncbi.nlm.nih.gov/object/SRR30712229" xr:uid="{51163059-E398-DF48-AD0D-5AFFB117B902}"/>
    <hyperlink ref="J4" r:id="rId118" display="https://dataview.ncbi.nlm.nih.gov/object/SRR30712232" xr:uid="{3B7CBE68-418C-C544-9585-2F25CBF7318B}"/>
    <hyperlink ref="J60" r:id="rId119" display="https://dataview.ncbi.nlm.nih.gov/object/SRR30712222" xr:uid="{4F4D999C-BFB5-334D-8341-E34C59B7D6BD}"/>
    <hyperlink ref="J9" r:id="rId120" display="https://dataview.ncbi.nlm.nih.gov/object/SRR30712209" xr:uid="{86D3EFCA-F304-D74E-BF1D-49738FD0C4E8}"/>
    <hyperlink ref="J73" r:id="rId121" display="https://dataview.ncbi.nlm.nih.gov/object/SRR30712207" xr:uid="{DB4ECD4A-04C7-8149-915D-235E50823859}"/>
    <hyperlink ref="J66" r:id="rId122" display="https://dataview.ncbi.nlm.nih.gov/object/SRR30712215" xr:uid="{4B845A39-A924-0E4D-A560-1AC358F662A9}"/>
    <hyperlink ref="J69" r:id="rId123" display="https://dataview.ncbi.nlm.nih.gov/object/SRR30712212" xr:uid="{158C1CB0-7426-BD42-96B4-B34899F38413}"/>
    <hyperlink ref="J68" r:id="rId124" display="https://dataview.ncbi.nlm.nih.gov/object/SRR30712213" xr:uid="{AD22787F-92EA-A945-9B90-68EAE30BEDED}"/>
    <hyperlink ref="J71" r:id="rId125" display="https://dataview.ncbi.nlm.nih.gov/object/SRR30712210" xr:uid="{75902EF2-7AC0-3A4F-A496-2C1B11D2BF51}"/>
    <hyperlink ref="J65" r:id="rId126" display="https://dataview.ncbi.nlm.nih.gov/object/SRR30712216" xr:uid="{F6E687A2-CC27-204A-B648-D7714C12A4FE}"/>
    <hyperlink ref="J86" r:id="rId127" display="https://dataview.ncbi.nlm.nih.gov/object/SRR30712193" xr:uid="{79925752-38FF-C74E-B75B-39501B3C3FED}"/>
    <hyperlink ref="J10" r:id="rId128" display="https://dataview.ncbi.nlm.nih.gov/object/SRR30712198" xr:uid="{26077FEB-7527-8647-B5D6-B0400CBA979A}"/>
    <hyperlink ref="J84" r:id="rId129" display="https://dataview.ncbi.nlm.nih.gov/object/SRR30712195" xr:uid="{D95B8D8C-1EE0-2343-8A27-3A78BF4FC362}"/>
    <hyperlink ref="J87" r:id="rId130" display="https://dataview.ncbi.nlm.nih.gov/object/SRR30712192" xr:uid="{367293F1-C472-9047-850D-D6FD02A340A3}"/>
    <hyperlink ref="J81" r:id="rId131" display="https://dataview.ncbi.nlm.nih.gov/object/SRR30712199" xr:uid="{A855480F-72F8-F842-9F0D-34BD975F0E49}"/>
    <hyperlink ref="J83" r:id="rId132" display="https://dataview.ncbi.nlm.nih.gov/object/SRR30712196" xr:uid="{ECCF044F-359B-B143-BF17-173575088AA1}"/>
    <hyperlink ref="J82" r:id="rId133" display="https://dataview.ncbi.nlm.nih.gov/object/SRR30712197" xr:uid="{1678BFF4-8660-E64C-9397-8432C8200E0D}"/>
    <hyperlink ref="J89" r:id="rId134" display="https://dataview.ncbi.nlm.nih.gov/object/SRR30712190" xr:uid="{A6F6FF76-1BFD-5D4F-8745-CE37D1826488}"/>
    <hyperlink ref="J85" r:id="rId135" display="https://dataview.ncbi.nlm.nih.gov/object/SRR30712194" xr:uid="{904F6592-26B7-5148-9C70-6758CB799AC3}"/>
    <hyperlink ref="J76" r:id="rId136" display="https://dataview.ncbi.nlm.nih.gov/object/SRR30712204" xr:uid="{34D055CE-95BB-534A-9ECB-B315480B8C5F}"/>
    <hyperlink ref="J79" r:id="rId137" display="https://dataview.ncbi.nlm.nih.gov/object/SRR30712201" xr:uid="{B8AB36A2-9654-E94E-90F0-EF4B19709499}"/>
    <hyperlink ref="J88" r:id="rId138" display="https://dataview.ncbi.nlm.nih.gov/object/SRR30712191" xr:uid="{1DBBE2A4-6109-2F4A-9B63-2F85A9663672}"/>
    <hyperlink ref="J80" r:id="rId139" display="https://dataview.ncbi.nlm.nih.gov/object/SRR30712200" xr:uid="{98875BB2-C3D7-A946-BAE0-C049A4679102}"/>
    <hyperlink ref="J11" r:id="rId140" display="https://dataview.ncbi.nlm.nih.gov/object/SRR30712187" xr:uid="{B6A0352D-A5A0-A84E-99C4-3645C44681D1}"/>
    <hyperlink ref="J97" r:id="rId141" display="https://dataview.ncbi.nlm.nih.gov/object/SRR30712181" xr:uid="{AECC54A5-140B-AA42-8B63-DF1ABDDA4F8D}"/>
    <hyperlink ref="J100" r:id="rId142" display="https://dataview.ncbi.nlm.nih.gov/object/SRR30712178" xr:uid="{73C5DEB7-59BC-5E43-9DF7-5DD65D622391}"/>
    <hyperlink ref="J90" r:id="rId143" display="https://dataview.ncbi.nlm.nih.gov/object/SRR30712189" xr:uid="{A8A3E3EB-1877-B14E-A4C2-7701E706BA54}"/>
    <hyperlink ref="J98" r:id="rId144" display="https://dataview.ncbi.nlm.nih.gov/object/SRR30712180" xr:uid="{7A4B6E79-BE18-F941-8CAE-34E5DD7C6576}"/>
    <hyperlink ref="J95" r:id="rId145" display="https://dataview.ncbi.nlm.nih.gov/object/SRR30712183" xr:uid="{1AD779DE-C876-AE46-A86F-0B71BEFB3056}"/>
    <hyperlink ref="J92" r:id="rId146" display="https://dataview.ncbi.nlm.nih.gov/object/SRR30712186" xr:uid="{0CFC5A1A-BDA1-5B4E-A70E-43873054C9B7}"/>
    <hyperlink ref="J99" r:id="rId147" display="https://dataview.ncbi.nlm.nih.gov/object/SRR30712179" xr:uid="{90F73389-3799-9E4A-AE70-FE4FA803C6BD}"/>
    <hyperlink ref="J96" r:id="rId148" display="https://dataview.ncbi.nlm.nih.gov/object/SRR30712182" xr:uid="{26C8531F-BB97-8340-8FDB-5E2805195EA3}"/>
    <hyperlink ref="J94" r:id="rId149" display="https://dataview.ncbi.nlm.nih.gov/object/SRR30712184" xr:uid="{1977F8EC-F508-204C-83FA-048F621A2EC5}"/>
    <hyperlink ref="J93" r:id="rId150" display="https://dataview.ncbi.nlm.nih.gov/object/SRR30712185" xr:uid="{B11664B4-8B78-504B-A8E8-3D727E7378EB}"/>
    <hyperlink ref="J101" r:id="rId151" display="https://dataview.ncbi.nlm.nih.gov/object/SRR30712177" xr:uid="{6FCE07ED-9509-EC42-8E67-206E9CAB175F}"/>
    <hyperlink ref="J91" r:id="rId152" display="https://dataview.ncbi.nlm.nih.gov/object/SRR30712188" xr:uid="{A8FB2C84-A73C-CF4C-9996-6C7FE404C31F}"/>
    <hyperlink ref="J77" r:id="rId153" display="https://dataview.ncbi.nlm.nih.gov/object/SRR30712203" xr:uid="{D9E41F00-B076-1448-8DB4-A59BAE57BC1B}"/>
    <hyperlink ref="J78" r:id="rId154" display="https://dataview.ncbi.nlm.nih.gov/object/SRR30712202" xr:uid="{A878201D-A990-2249-8F4E-B0196BB9F42F}"/>
    <hyperlink ref="J154" r:id="rId155" display="https://dataview.ncbi.nlm.nih.gov/object/SRR30712240" xr:uid="{C0A32E95-4318-1B4E-B0FE-DDA2CD527EE6}"/>
  </hyperlinks>
  <pageMargins left="0.7" right="0.7" top="0.75" bottom="0.75" header="0.3" footer="0.3"/>
  <tableParts count="1">
    <tablePart r:id="rId15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A7BF-2E8F-9249-BD2A-4D72A0451BCD}">
  <dimension ref="A1:K159"/>
  <sheetViews>
    <sheetView zoomScale="60" zoomScaleNormal="60" workbookViewId="0">
      <selection activeCell="A81" sqref="A81:K159"/>
    </sheetView>
  </sheetViews>
  <sheetFormatPr baseColWidth="10" defaultRowHeight="16" x14ac:dyDescent="0.2"/>
  <cols>
    <col min="1" max="1" width="19.6640625" bestFit="1" customWidth="1"/>
    <col min="2" max="2" width="17.6640625" customWidth="1"/>
    <col min="3" max="3" width="18.5" customWidth="1"/>
    <col min="4" max="4" width="19.6640625" customWidth="1"/>
    <col min="5" max="5" width="21" customWidth="1"/>
    <col min="6" max="6" width="23" customWidth="1"/>
    <col min="7" max="7" width="20.1640625" customWidth="1"/>
    <col min="8" max="8" width="24" customWidth="1"/>
    <col min="9" max="9" width="45" customWidth="1"/>
    <col min="10" max="10" width="17.6640625" style="25" customWidth="1"/>
    <col min="11" max="11" width="22.1640625" style="1" customWidth="1"/>
  </cols>
  <sheetData>
    <row r="1" spans="1:11" ht="51" x14ac:dyDescent="0.2">
      <c r="A1" s="2" t="s">
        <v>294</v>
      </c>
      <c r="B1" s="2" t="s">
        <v>477</v>
      </c>
      <c r="C1" s="2" t="s">
        <v>478</v>
      </c>
      <c r="D1" s="2" t="s">
        <v>479</v>
      </c>
      <c r="E1" s="2" t="s">
        <v>480</v>
      </c>
      <c r="F1" s="2" t="s">
        <v>473</v>
      </c>
      <c r="G1" s="2" t="s">
        <v>295</v>
      </c>
      <c r="H1" s="2" t="s">
        <v>474</v>
      </c>
      <c r="I1" s="2" t="s">
        <v>475</v>
      </c>
      <c r="J1" s="6" t="s">
        <v>476</v>
      </c>
      <c r="K1" s="6" t="s">
        <v>472</v>
      </c>
    </row>
    <row r="2" spans="1:11" ht="34" x14ac:dyDescent="0.2">
      <c r="A2" s="3" t="s">
        <v>6</v>
      </c>
      <c r="B2" s="3" t="s">
        <v>166</v>
      </c>
      <c r="C2" s="3" t="s">
        <v>303</v>
      </c>
      <c r="D2" s="4"/>
      <c r="E2" s="3" t="s">
        <v>296</v>
      </c>
      <c r="F2" s="3" t="s">
        <v>296</v>
      </c>
      <c r="G2" s="3" t="s">
        <v>296</v>
      </c>
      <c r="H2" s="3" t="s">
        <v>296</v>
      </c>
      <c r="I2" s="3" t="s">
        <v>216</v>
      </c>
      <c r="J2" s="26" t="s">
        <v>332</v>
      </c>
      <c r="K2" s="9">
        <v>3599.2704043040799</v>
      </c>
    </row>
    <row r="3" spans="1:11" ht="17" x14ac:dyDescent="0.2">
      <c r="A3" s="3" t="s">
        <v>9</v>
      </c>
      <c r="B3" s="3" t="s">
        <v>166</v>
      </c>
      <c r="C3" s="3" t="s">
        <v>303</v>
      </c>
      <c r="D3" s="4"/>
      <c r="E3" s="3" t="s">
        <v>297</v>
      </c>
      <c r="F3" s="3" t="s">
        <v>10</v>
      </c>
      <c r="G3" s="3" t="s">
        <v>297</v>
      </c>
      <c r="H3" s="3" t="s">
        <v>10</v>
      </c>
      <c r="I3" s="3" t="s">
        <v>10</v>
      </c>
      <c r="J3" s="26" t="s">
        <v>335</v>
      </c>
      <c r="K3" s="3">
        <v>0.17</v>
      </c>
    </row>
    <row r="4" spans="1:11" ht="17" x14ac:dyDescent="0.2">
      <c r="A4" s="3" t="s">
        <v>11</v>
      </c>
      <c r="B4" s="3" t="s">
        <v>166</v>
      </c>
      <c r="C4" s="3" t="s">
        <v>303</v>
      </c>
      <c r="D4" s="4"/>
      <c r="E4" s="3" t="s">
        <v>297</v>
      </c>
      <c r="F4" s="3" t="s">
        <v>10</v>
      </c>
      <c r="G4" s="3" t="s">
        <v>297</v>
      </c>
      <c r="H4" s="3" t="s">
        <v>10</v>
      </c>
      <c r="I4" s="3" t="s">
        <v>10</v>
      </c>
      <c r="J4" s="26" t="s">
        <v>434</v>
      </c>
      <c r="K4" s="3" t="s">
        <v>10</v>
      </c>
    </row>
    <row r="5" spans="1:11" ht="17" x14ac:dyDescent="0.2">
      <c r="A5" s="3" t="s">
        <v>12</v>
      </c>
      <c r="B5" s="3" t="s">
        <v>166</v>
      </c>
      <c r="C5" s="3" t="s">
        <v>303</v>
      </c>
      <c r="D5" s="4"/>
      <c r="E5" s="3" t="s">
        <v>297</v>
      </c>
      <c r="F5" s="3" t="s">
        <v>10</v>
      </c>
      <c r="G5" s="3" t="s">
        <v>297</v>
      </c>
      <c r="H5" s="3" t="s">
        <v>10</v>
      </c>
      <c r="I5" s="3" t="s">
        <v>10</v>
      </c>
      <c r="J5" s="26" t="s">
        <v>327</v>
      </c>
      <c r="K5" s="3" t="s">
        <v>10</v>
      </c>
    </row>
    <row r="6" spans="1:11" ht="17" x14ac:dyDescent="0.2">
      <c r="A6" s="3" t="s">
        <v>13</v>
      </c>
      <c r="B6" s="3" t="s">
        <v>166</v>
      </c>
      <c r="C6" s="3" t="s">
        <v>303</v>
      </c>
      <c r="D6" s="4"/>
      <c r="E6" s="3" t="s">
        <v>296</v>
      </c>
      <c r="F6" s="3" t="s">
        <v>296</v>
      </c>
      <c r="G6" s="3" t="s">
        <v>296</v>
      </c>
      <c r="H6" s="3" t="s">
        <v>296</v>
      </c>
      <c r="I6" s="3" t="s">
        <v>217</v>
      </c>
      <c r="J6" s="26" t="s">
        <v>354</v>
      </c>
      <c r="K6" s="9">
        <v>4675.7631728579699</v>
      </c>
    </row>
    <row r="7" spans="1:11" ht="17" x14ac:dyDescent="0.2">
      <c r="A7" s="3" t="s">
        <v>14</v>
      </c>
      <c r="B7" s="3" t="s">
        <v>166</v>
      </c>
      <c r="C7" s="3" t="s">
        <v>303</v>
      </c>
      <c r="D7" s="4"/>
      <c r="E7" s="3" t="s">
        <v>297</v>
      </c>
      <c r="F7" s="3" t="s">
        <v>10</v>
      </c>
      <c r="G7" s="3" t="s">
        <v>297</v>
      </c>
      <c r="H7" s="3" t="s">
        <v>10</v>
      </c>
      <c r="I7" s="3" t="s">
        <v>10</v>
      </c>
      <c r="J7" s="26" t="s">
        <v>426</v>
      </c>
      <c r="K7" s="3" t="s">
        <v>10</v>
      </c>
    </row>
    <row r="8" spans="1:11" ht="17" x14ac:dyDescent="0.2">
      <c r="A8" s="3" t="s">
        <v>15</v>
      </c>
      <c r="B8" s="3" t="s">
        <v>166</v>
      </c>
      <c r="C8" s="3" t="s">
        <v>303</v>
      </c>
      <c r="D8" s="4"/>
      <c r="E8" s="3" t="s">
        <v>296</v>
      </c>
      <c r="F8" s="3" t="s">
        <v>296</v>
      </c>
      <c r="G8" s="3" t="s">
        <v>297</v>
      </c>
      <c r="H8" s="3" t="s">
        <v>10</v>
      </c>
      <c r="I8" s="3" t="s">
        <v>218</v>
      </c>
      <c r="J8" s="26" t="s">
        <v>428</v>
      </c>
      <c r="K8" s="9">
        <v>300.65634480631098</v>
      </c>
    </row>
    <row r="9" spans="1:11" ht="17" x14ac:dyDescent="0.2">
      <c r="A9" s="3" t="s">
        <v>16</v>
      </c>
      <c r="B9" s="3" t="s">
        <v>166</v>
      </c>
      <c r="C9" s="3" t="s">
        <v>303</v>
      </c>
      <c r="D9" s="4"/>
      <c r="E9" s="3" t="s">
        <v>296</v>
      </c>
      <c r="F9" s="3" t="s">
        <v>296</v>
      </c>
      <c r="G9" s="3" t="s">
        <v>297</v>
      </c>
      <c r="H9" s="3" t="s">
        <v>10</v>
      </c>
      <c r="I9" s="3" t="s">
        <v>219</v>
      </c>
      <c r="J9" s="26" t="s">
        <v>436</v>
      </c>
      <c r="K9" s="9">
        <v>390.85671219821899</v>
      </c>
    </row>
    <row r="10" spans="1:11" ht="17" x14ac:dyDescent="0.2">
      <c r="A10" s="3" t="s">
        <v>17</v>
      </c>
      <c r="B10" s="3" t="s">
        <v>166</v>
      </c>
      <c r="C10" s="3" t="s">
        <v>303</v>
      </c>
      <c r="D10" s="4"/>
      <c r="E10" s="3" t="s">
        <v>296</v>
      </c>
      <c r="F10" s="3" t="s">
        <v>296</v>
      </c>
      <c r="G10" s="3" t="s">
        <v>296</v>
      </c>
      <c r="H10" s="3" t="s">
        <v>296</v>
      </c>
      <c r="I10" s="3" t="s">
        <v>220</v>
      </c>
      <c r="J10" s="26" t="s">
        <v>444</v>
      </c>
      <c r="K10" s="10">
        <v>73.351929047099404</v>
      </c>
    </row>
    <row r="11" spans="1:11" ht="17" x14ac:dyDescent="0.2">
      <c r="A11" s="3" t="s">
        <v>18</v>
      </c>
      <c r="B11" s="3" t="s">
        <v>166</v>
      </c>
      <c r="C11" s="3" t="s">
        <v>303</v>
      </c>
      <c r="D11" s="4"/>
      <c r="E11" s="3" t="s">
        <v>297</v>
      </c>
      <c r="F11" s="3" t="s">
        <v>10</v>
      </c>
      <c r="G11" s="3" t="s">
        <v>297</v>
      </c>
      <c r="H11" s="3" t="s">
        <v>10</v>
      </c>
      <c r="I11" s="3" t="s">
        <v>10</v>
      </c>
      <c r="J11" s="26" t="s">
        <v>456</v>
      </c>
      <c r="K11" s="3">
        <v>0.3</v>
      </c>
    </row>
    <row r="12" spans="1:11" ht="17" x14ac:dyDescent="0.2">
      <c r="A12" s="3" t="s">
        <v>19</v>
      </c>
      <c r="B12" s="3" t="s">
        <v>166</v>
      </c>
      <c r="C12" s="3" t="s">
        <v>303</v>
      </c>
      <c r="D12" s="4"/>
      <c r="E12" s="3" t="s">
        <v>296</v>
      </c>
      <c r="F12" s="3" t="s">
        <v>296</v>
      </c>
      <c r="G12" s="3" t="s">
        <v>297</v>
      </c>
      <c r="H12" s="3" t="s">
        <v>10</v>
      </c>
      <c r="I12" s="3" t="s">
        <v>228</v>
      </c>
      <c r="J12" s="26" t="s">
        <v>334</v>
      </c>
      <c r="K12" s="9">
        <v>249.08448052841001</v>
      </c>
    </row>
    <row r="13" spans="1:11" ht="17" x14ac:dyDescent="0.2">
      <c r="A13" s="3" t="s">
        <v>20</v>
      </c>
      <c r="B13" s="3" t="s">
        <v>166</v>
      </c>
      <c r="C13" s="3" t="s">
        <v>303</v>
      </c>
      <c r="D13" s="4"/>
      <c r="E13" s="3" t="s">
        <v>296</v>
      </c>
      <c r="F13" s="3" t="s">
        <v>296</v>
      </c>
      <c r="G13" s="3" t="s">
        <v>296</v>
      </c>
      <c r="H13" s="3" t="s">
        <v>296</v>
      </c>
      <c r="I13" s="3" t="s">
        <v>227</v>
      </c>
      <c r="J13" s="26" t="s">
        <v>365</v>
      </c>
      <c r="K13" s="9">
        <v>1044.9804774929401</v>
      </c>
    </row>
    <row r="14" spans="1:11" ht="17" x14ac:dyDescent="0.2">
      <c r="A14" s="3" t="s">
        <v>21</v>
      </c>
      <c r="B14" s="3" t="s">
        <v>166</v>
      </c>
      <c r="C14" s="3" t="s">
        <v>303</v>
      </c>
      <c r="D14" s="4"/>
      <c r="E14" s="3" t="s">
        <v>296</v>
      </c>
      <c r="F14" s="3" t="s">
        <v>297</v>
      </c>
      <c r="G14" s="3" t="s">
        <v>297</v>
      </c>
      <c r="H14" s="3" t="s">
        <v>10</v>
      </c>
      <c r="I14" s="3" t="s">
        <v>10</v>
      </c>
      <c r="J14" s="26" t="s">
        <v>399</v>
      </c>
      <c r="K14" s="3">
        <v>0.53</v>
      </c>
    </row>
    <row r="15" spans="1:11" ht="17" x14ac:dyDescent="0.2">
      <c r="A15" s="3" t="s">
        <v>22</v>
      </c>
      <c r="B15" s="3" t="s">
        <v>166</v>
      </c>
      <c r="C15" s="3" t="s">
        <v>303</v>
      </c>
      <c r="D15" s="4"/>
      <c r="E15" s="3" t="s">
        <v>296</v>
      </c>
      <c r="F15" s="3" t="s">
        <v>296</v>
      </c>
      <c r="G15" s="3" t="s">
        <v>296</v>
      </c>
      <c r="H15" s="3" t="s">
        <v>296</v>
      </c>
      <c r="I15" s="3" t="s">
        <v>223</v>
      </c>
      <c r="J15" s="26" t="s">
        <v>395</v>
      </c>
      <c r="K15" s="9">
        <v>17538.301284684501</v>
      </c>
    </row>
    <row r="16" spans="1:11" ht="17" x14ac:dyDescent="0.2">
      <c r="A16" s="3" t="s">
        <v>23</v>
      </c>
      <c r="B16" s="3" t="s">
        <v>166</v>
      </c>
      <c r="C16" s="3" t="s">
        <v>303</v>
      </c>
      <c r="D16" s="4"/>
      <c r="E16" s="3" t="s">
        <v>296</v>
      </c>
      <c r="F16" s="3" t="s">
        <v>296</v>
      </c>
      <c r="G16" s="3" t="s">
        <v>297</v>
      </c>
      <c r="H16" s="3" t="s">
        <v>10</v>
      </c>
      <c r="I16" s="3" t="s">
        <v>224</v>
      </c>
      <c r="J16" s="26" t="s">
        <v>391</v>
      </c>
      <c r="K16" s="9">
        <v>198.87920853009501</v>
      </c>
    </row>
    <row r="17" spans="1:11" ht="34" x14ac:dyDescent="0.2">
      <c r="A17" s="3" t="s">
        <v>24</v>
      </c>
      <c r="B17" s="3" t="s">
        <v>166</v>
      </c>
      <c r="C17" s="3" t="s">
        <v>303</v>
      </c>
      <c r="D17" s="4"/>
      <c r="E17" s="3" t="s">
        <v>296</v>
      </c>
      <c r="F17" s="3" t="s">
        <v>296</v>
      </c>
      <c r="G17" s="3" t="s">
        <v>296</v>
      </c>
      <c r="H17" s="3" t="s">
        <v>296</v>
      </c>
      <c r="I17" s="3" t="s">
        <v>225</v>
      </c>
      <c r="J17" s="26" t="s">
        <v>415</v>
      </c>
      <c r="K17" s="9">
        <v>546.17376033020105</v>
      </c>
    </row>
    <row r="18" spans="1:11" ht="17" x14ac:dyDescent="0.2">
      <c r="A18" s="3" t="s">
        <v>25</v>
      </c>
      <c r="B18" s="3" t="s">
        <v>166</v>
      </c>
      <c r="C18" s="3" t="s">
        <v>303</v>
      </c>
      <c r="D18" s="4"/>
      <c r="E18" s="3" t="s">
        <v>296</v>
      </c>
      <c r="F18" s="3" t="s">
        <v>296</v>
      </c>
      <c r="G18" s="3" t="s">
        <v>297</v>
      </c>
      <c r="H18" s="3" t="s">
        <v>10</v>
      </c>
      <c r="I18" s="3" t="s">
        <v>226</v>
      </c>
      <c r="J18" s="26" t="s">
        <v>403</v>
      </c>
      <c r="K18" s="9">
        <v>493.12778545412903</v>
      </c>
    </row>
    <row r="19" spans="1:11" ht="17" x14ac:dyDescent="0.2">
      <c r="A19" s="3" t="s">
        <v>26</v>
      </c>
      <c r="B19" s="3" t="s">
        <v>166</v>
      </c>
      <c r="C19" s="3" t="s">
        <v>303</v>
      </c>
      <c r="D19" s="4"/>
      <c r="E19" s="3" t="s">
        <v>296</v>
      </c>
      <c r="F19" s="3" t="s">
        <v>296</v>
      </c>
      <c r="G19" s="3" t="s">
        <v>297</v>
      </c>
      <c r="H19" s="3" t="s">
        <v>10</v>
      </c>
      <c r="I19" s="3" t="s">
        <v>221</v>
      </c>
      <c r="J19" s="26" t="s">
        <v>415</v>
      </c>
      <c r="K19" s="9">
        <v>82.542173517113696</v>
      </c>
    </row>
    <row r="20" spans="1:11" ht="17" x14ac:dyDescent="0.2">
      <c r="A20" s="3" t="s">
        <v>27</v>
      </c>
      <c r="B20" s="3" t="s">
        <v>166</v>
      </c>
      <c r="C20" s="3" t="s">
        <v>303</v>
      </c>
      <c r="D20" s="4"/>
      <c r="E20" s="3" t="s">
        <v>296</v>
      </c>
      <c r="F20" s="3" t="s">
        <v>297</v>
      </c>
      <c r="G20" s="3" t="s">
        <v>297</v>
      </c>
      <c r="H20" s="3" t="s">
        <v>297</v>
      </c>
      <c r="I20" s="3" t="s">
        <v>10</v>
      </c>
      <c r="J20" s="26" t="s">
        <v>414</v>
      </c>
      <c r="K20" s="3">
        <v>5.72</v>
      </c>
    </row>
    <row r="21" spans="1:11" ht="17" x14ac:dyDescent="0.2">
      <c r="A21" s="3" t="s">
        <v>28</v>
      </c>
      <c r="B21" s="3" t="s">
        <v>166</v>
      </c>
      <c r="C21" s="3" t="s">
        <v>303</v>
      </c>
      <c r="D21" s="4"/>
      <c r="E21" s="3" t="s">
        <v>296</v>
      </c>
      <c r="F21" s="3" t="s">
        <v>296</v>
      </c>
      <c r="G21" s="3" t="s">
        <v>296</v>
      </c>
      <c r="H21" s="3" t="s">
        <v>296</v>
      </c>
      <c r="I21" s="3" t="s">
        <v>222</v>
      </c>
      <c r="J21" s="26" t="s">
        <v>411</v>
      </c>
      <c r="K21" s="9">
        <v>3661.3206785873199</v>
      </c>
    </row>
    <row r="22" spans="1:11" ht="17" x14ac:dyDescent="0.2">
      <c r="A22" s="3" t="s">
        <v>29</v>
      </c>
      <c r="B22" s="3" t="s">
        <v>166</v>
      </c>
      <c r="C22" s="3" t="s">
        <v>303</v>
      </c>
      <c r="D22" s="4"/>
      <c r="E22" s="3" t="s">
        <v>297</v>
      </c>
      <c r="F22" s="3" t="s">
        <v>10</v>
      </c>
      <c r="G22" s="3" t="s">
        <v>297</v>
      </c>
      <c r="H22" s="3" t="s">
        <v>10</v>
      </c>
      <c r="I22" s="3" t="s">
        <v>10</v>
      </c>
      <c r="J22" s="26" t="s">
        <v>330</v>
      </c>
      <c r="K22" s="3" t="s">
        <v>10</v>
      </c>
    </row>
    <row r="23" spans="1:11" ht="17" x14ac:dyDescent="0.2">
      <c r="A23" s="3" t="s">
        <v>30</v>
      </c>
      <c r="B23" s="3" t="s">
        <v>166</v>
      </c>
      <c r="C23" s="3" t="s">
        <v>303</v>
      </c>
      <c r="D23" s="4"/>
      <c r="E23" s="3" t="s">
        <v>296</v>
      </c>
      <c r="F23" s="3" t="s">
        <v>297</v>
      </c>
      <c r="G23" s="3" t="s">
        <v>297</v>
      </c>
      <c r="H23" s="3" t="s">
        <v>10</v>
      </c>
      <c r="I23" s="3" t="s">
        <v>10</v>
      </c>
      <c r="J23" s="26" t="s">
        <v>326</v>
      </c>
      <c r="K23" s="3">
        <v>0.31</v>
      </c>
    </row>
    <row r="24" spans="1:11" ht="17" x14ac:dyDescent="0.2">
      <c r="A24" s="3" t="s">
        <v>31</v>
      </c>
      <c r="B24" s="3" t="s">
        <v>166</v>
      </c>
      <c r="C24" s="3" t="s">
        <v>303</v>
      </c>
      <c r="D24" s="4"/>
      <c r="E24" s="3" t="s">
        <v>296</v>
      </c>
      <c r="F24" s="3" t="s">
        <v>296</v>
      </c>
      <c r="G24" s="3" t="s">
        <v>297</v>
      </c>
      <c r="H24" s="3" t="s">
        <v>10</v>
      </c>
      <c r="I24" s="3" t="s">
        <v>229</v>
      </c>
      <c r="J24" s="26" t="s">
        <v>322</v>
      </c>
      <c r="K24" s="9">
        <v>611.20738092722604</v>
      </c>
    </row>
    <row r="25" spans="1:11" ht="17" x14ac:dyDescent="0.2">
      <c r="A25" s="3" t="s">
        <v>32</v>
      </c>
      <c r="B25" s="3" t="s">
        <v>166</v>
      </c>
      <c r="C25" s="3" t="s">
        <v>303</v>
      </c>
      <c r="D25" s="4"/>
      <c r="E25" s="3" t="s">
        <v>297</v>
      </c>
      <c r="F25" s="3" t="s">
        <v>10</v>
      </c>
      <c r="G25" s="3" t="s">
        <v>297</v>
      </c>
      <c r="H25" s="3" t="s">
        <v>10</v>
      </c>
      <c r="I25" s="3" t="s">
        <v>10</v>
      </c>
      <c r="J25" s="26" t="s">
        <v>331</v>
      </c>
      <c r="K25" s="3" t="s">
        <v>10</v>
      </c>
    </row>
    <row r="26" spans="1:11" ht="17" x14ac:dyDescent="0.2">
      <c r="A26" s="3" t="s">
        <v>33</v>
      </c>
      <c r="B26" s="3" t="s">
        <v>166</v>
      </c>
      <c r="C26" s="3" t="s">
        <v>303</v>
      </c>
      <c r="D26" s="4"/>
      <c r="E26" s="3" t="s">
        <v>296</v>
      </c>
      <c r="F26" s="3" t="s">
        <v>296</v>
      </c>
      <c r="G26" s="3" t="s">
        <v>297</v>
      </c>
      <c r="H26" s="3" t="s">
        <v>10</v>
      </c>
      <c r="I26" s="3" t="s">
        <v>234</v>
      </c>
      <c r="J26" s="26" t="s">
        <v>325</v>
      </c>
      <c r="K26" s="9">
        <v>553.01428172466399</v>
      </c>
    </row>
    <row r="27" spans="1:11" ht="17" x14ac:dyDescent="0.2">
      <c r="A27" s="3" t="s">
        <v>34</v>
      </c>
      <c r="B27" s="3" t="s">
        <v>166</v>
      </c>
      <c r="C27" s="3" t="s">
        <v>303</v>
      </c>
      <c r="D27" s="4"/>
      <c r="E27" s="3" t="s">
        <v>296</v>
      </c>
      <c r="F27" s="3" t="s">
        <v>296</v>
      </c>
      <c r="G27" s="3" t="s">
        <v>296</v>
      </c>
      <c r="H27" s="3" t="s">
        <v>296</v>
      </c>
      <c r="I27" s="3" t="s">
        <v>232</v>
      </c>
      <c r="J27" s="26" t="s">
        <v>333</v>
      </c>
      <c r="K27" s="9">
        <v>45347.352244383503</v>
      </c>
    </row>
    <row r="28" spans="1:11" ht="17" x14ac:dyDescent="0.2">
      <c r="A28" s="3" t="s">
        <v>35</v>
      </c>
      <c r="B28" s="3" t="s">
        <v>166</v>
      </c>
      <c r="C28" s="3" t="s">
        <v>303</v>
      </c>
      <c r="D28" s="4"/>
      <c r="E28" s="3" t="s">
        <v>296</v>
      </c>
      <c r="F28" s="3" t="s">
        <v>297</v>
      </c>
      <c r="G28" s="3" t="s">
        <v>296</v>
      </c>
      <c r="H28" s="3" t="s">
        <v>296</v>
      </c>
      <c r="I28" s="3" t="s">
        <v>233</v>
      </c>
      <c r="J28" s="26" t="s">
        <v>328</v>
      </c>
      <c r="K28" s="9">
        <v>59.718601769899102</v>
      </c>
    </row>
    <row r="29" spans="1:11" ht="17" x14ac:dyDescent="0.2">
      <c r="A29" s="3" t="s">
        <v>36</v>
      </c>
      <c r="B29" s="3" t="s">
        <v>166</v>
      </c>
      <c r="C29" s="3" t="s">
        <v>303</v>
      </c>
      <c r="D29" s="4"/>
      <c r="E29" s="3" t="s">
        <v>296</v>
      </c>
      <c r="F29" s="3" t="s">
        <v>296</v>
      </c>
      <c r="G29" s="3" t="s">
        <v>296</v>
      </c>
      <c r="H29" s="3" t="s">
        <v>296</v>
      </c>
      <c r="I29" s="3" t="s">
        <v>231</v>
      </c>
      <c r="J29" s="26" t="s">
        <v>324</v>
      </c>
      <c r="K29" s="9">
        <v>49691.715297089999</v>
      </c>
    </row>
    <row r="30" spans="1:11" ht="17" x14ac:dyDescent="0.2">
      <c r="A30" s="3" t="s">
        <v>37</v>
      </c>
      <c r="B30" s="3" t="s">
        <v>166</v>
      </c>
      <c r="C30" s="3" t="s">
        <v>303</v>
      </c>
      <c r="D30" s="4"/>
      <c r="E30" s="3" t="s">
        <v>296</v>
      </c>
      <c r="F30" s="3" t="s">
        <v>296</v>
      </c>
      <c r="G30" s="3" t="s">
        <v>297</v>
      </c>
      <c r="H30" s="3" t="s">
        <v>10</v>
      </c>
      <c r="I30" s="3" t="s">
        <v>230</v>
      </c>
      <c r="J30" s="26" t="s">
        <v>321</v>
      </c>
      <c r="K30" s="9">
        <v>467.88899409182</v>
      </c>
    </row>
    <row r="31" spans="1:11" ht="17" x14ac:dyDescent="0.2">
      <c r="A31" s="3" t="s">
        <v>38</v>
      </c>
      <c r="B31" s="3" t="s">
        <v>166</v>
      </c>
      <c r="C31" s="3" t="s">
        <v>304</v>
      </c>
      <c r="D31" s="4"/>
      <c r="E31" s="3" t="s">
        <v>297</v>
      </c>
      <c r="F31" s="3" t="s">
        <v>10</v>
      </c>
      <c r="G31" s="3" t="s">
        <v>297</v>
      </c>
      <c r="H31" s="3" t="s">
        <v>10</v>
      </c>
      <c r="I31" s="3" t="s">
        <v>10</v>
      </c>
      <c r="J31" s="26" t="s">
        <v>329</v>
      </c>
      <c r="K31" s="3" t="s">
        <v>10</v>
      </c>
    </row>
    <row r="32" spans="1:11" ht="17" x14ac:dyDescent="0.2">
      <c r="A32" s="3" t="s">
        <v>39</v>
      </c>
      <c r="B32" s="3" t="s">
        <v>166</v>
      </c>
      <c r="C32" s="3" t="s">
        <v>304</v>
      </c>
      <c r="D32" s="4"/>
      <c r="E32" s="3" t="s">
        <v>296</v>
      </c>
      <c r="F32" s="3" t="s">
        <v>296</v>
      </c>
      <c r="G32" s="3" t="s">
        <v>296</v>
      </c>
      <c r="H32" s="3" t="s">
        <v>296</v>
      </c>
      <c r="I32" s="3" t="s">
        <v>235</v>
      </c>
      <c r="J32" s="26" t="s">
        <v>323</v>
      </c>
      <c r="K32" s="9">
        <v>1276.58219788615</v>
      </c>
    </row>
    <row r="33" spans="1:11" ht="17" x14ac:dyDescent="0.2">
      <c r="A33" s="3" t="s">
        <v>40</v>
      </c>
      <c r="B33" s="3" t="s">
        <v>166</v>
      </c>
      <c r="C33" s="3" t="s">
        <v>304</v>
      </c>
      <c r="D33" s="4"/>
      <c r="E33" s="3" t="s">
        <v>296</v>
      </c>
      <c r="F33" s="3" t="s">
        <v>296</v>
      </c>
      <c r="G33" s="3" t="s">
        <v>297</v>
      </c>
      <c r="H33" s="3" t="s">
        <v>10</v>
      </c>
      <c r="I33" s="3" t="s">
        <v>237</v>
      </c>
      <c r="J33" s="26" t="s">
        <v>339</v>
      </c>
      <c r="K33" s="9">
        <v>1099.8946652331899</v>
      </c>
    </row>
    <row r="34" spans="1:11" ht="17" x14ac:dyDescent="0.2">
      <c r="A34" s="3" t="s">
        <v>41</v>
      </c>
      <c r="B34" s="3" t="s">
        <v>166</v>
      </c>
      <c r="C34" s="3" t="s">
        <v>304</v>
      </c>
      <c r="D34" s="4"/>
      <c r="E34" s="3" t="s">
        <v>296</v>
      </c>
      <c r="F34" s="3" t="s">
        <v>296</v>
      </c>
      <c r="G34" s="3" t="s">
        <v>296</v>
      </c>
      <c r="H34" s="3" t="s">
        <v>296</v>
      </c>
      <c r="I34" s="3" t="s">
        <v>238</v>
      </c>
      <c r="J34" s="26" t="s">
        <v>337</v>
      </c>
      <c r="K34" s="9">
        <v>2466.4420279086798</v>
      </c>
    </row>
    <row r="35" spans="1:11" ht="17" x14ac:dyDescent="0.2">
      <c r="A35" s="3" t="s">
        <v>42</v>
      </c>
      <c r="B35" s="3" t="s">
        <v>166</v>
      </c>
      <c r="C35" s="3" t="s">
        <v>304</v>
      </c>
      <c r="D35" s="4"/>
      <c r="E35" s="3" t="s">
        <v>296</v>
      </c>
      <c r="F35" s="3" t="s">
        <v>297</v>
      </c>
      <c r="G35" s="3" t="s">
        <v>297</v>
      </c>
      <c r="H35" s="3" t="s">
        <v>10</v>
      </c>
      <c r="I35" s="3" t="s">
        <v>239</v>
      </c>
      <c r="J35" s="26" t="s">
        <v>347</v>
      </c>
      <c r="K35" s="10">
        <v>33.116460445065499</v>
      </c>
    </row>
    <row r="36" spans="1:11" ht="17" x14ac:dyDescent="0.2">
      <c r="A36" s="3" t="s">
        <v>43</v>
      </c>
      <c r="B36" s="3" t="s">
        <v>166</v>
      </c>
      <c r="C36" s="3" t="s">
        <v>304</v>
      </c>
      <c r="D36" s="4"/>
      <c r="E36" s="3" t="s">
        <v>296</v>
      </c>
      <c r="F36" s="3" t="s">
        <v>296</v>
      </c>
      <c r="G36" s="3" t="s">
        <v>297</v>
      </c>
      <c r="H36" s="3" t="s">
        <v>10</v>
      </c>
      <c r="I36" s="3" t="s">
        <v>236</v>
      </c>
      <c r="J36" s="26" t="s">
        <v>349</v>
      </c>
      <c r="K36" s="9">
        <v>529.82333577378904</v>
      </c>
    </row>
    <row r="37" spans="1:11" ht="17" x14ac:dyDescent="0.2">
      <c r="A37" s="3" t="s">
        <v>44</v>
      </c>
      <c r="B37" s="3" t="s">
        <v>166</v>
      </c>
      <c r="C37" s="3" t="s">
        <v>304</v>
      </c>
      <c r="D37" s="4"/>
      <c r="E37" s="3" t="s">
        <v>296</v>
      </c>
      <c r="F37" s="3" t="s">
        <v>296</v>
      </c>
      <c r="G37" s="3" t="s">
        <v>297</v>
      </c>
      <c r="H37" s="3" t="s">
        <v>10</v>
      </c>
      <c r="I37" s="3" t="s">
        <v>240</v>
      </c>
      <c r="J37" s="26" t="s">
        <v>356</v>
      </c>
      <c r="K37" s="9">
        <v>2487.6239260017101</v>
      </c>
    </row>
    <row r="38" spans="1:11" ht="17" x14ac:dyDescent="0.2">
      <c r="A38" s="3" t="s">
        <v>45</v>
      </c>
      <c r="B38" s="3" t="s">
        <v>166</v>
      </c>
      <c r="C38" s="3" t="s">
        <v>304</v>
      </c>
      <c r="D38" s="4"/>
      <c r="E38" s="3" t="s">
        <v>296</v>
      </c>
      <c r="F38" s="3" t="s">
        <v>297</v>
      </c>
      <c r="G38" s="3" t="s">
        <v>297</v>
      </c>
      <c r="H38" s="3" t="s">
        <v>10</v>
      </c>
      <c r="I38" s="3" t="s">
        <v>10</v>
      </c>
      <c r="J38" s="26" t="s">
        <v>357</v>
      </c>
      <c r="K38" s="3">
        <v>0.31</v>
      </c>
    </row>
    <row r="39" spans="1:11" ht="17" x14ac:dyDescent="0.2">
      <c r="A39" s="3" t="s">
        <v>46</v>
      </c>
      <c r="B39" s="3" t="s">
        <v>166</v>
      </c>
      <c r="C39" s="3" t="s">
        <v>304</v>
      </c>
      <c r="D39" s="4"/>
      <c r="E39" s="3" t="s">
        <v>296</v>
      </c>
      <c r="F39" s="3" t="s">
        <v>296</v>
      </c>
      <c r="G39" s="3" t="s">
        <v>296</v>
      </c>
      <c r="H39" s="3" t="s">
        <v>296</v>
      </c>
      <c r="I39" s="3" t="s">
        <v>241</v>
      </c>
      <c r="J39" s="26" t="s">
        <v>359</v>
      </c>
      <c r="K39" s="9">
        <v>19814.0067656908</v>
      </c>
    </row>
    <row r="40" spans="1:11" ht="17" x14ac:dyDescent="0.2">
      <c r="A40" s="3" t="s">
        <v>47</v>
      </c>
      <c r="B40" s="3" t="s">
        <v>166</v>
      </c>
      <c r="C40" s="3" t="s">
        <v>304</v>
      </c>
      <c r="D40" s="4"/>
      <c r="E40" s="3" t="s">
        <v>296</v>
      </c>
      <c r="F40" s="3" t="s">
        <v>297</v>
      </c>
      <c r="G40" s="3" t="s">
        <v>297</v>
      </c>
      <c r="H40" s="3" t="s">
        <v>297</v>
      </c>
      <c r="I40" s="3" t="s">
        <v>10</v>
      </c>
      <c r="J40" s="26" t="s">
        <v>336</v>
      </c>
      <c r="K40" s="3">
        <v>5.5</v>
      </c>
    </row>
    <row r="41" spans="1:11" ht="17" x14ac:dyDescent="0.2">
      <c r="A41" s="3" t="s">
        <v>48</v>
      </c>
      <c r="B41" s="3" t="s">
        <v>166</v>
      </c>
      <c r="C41" s="3" t="s">
        <v>305</v>
      </c>
      <c r="D41" s="4"/>
      <c r="E41" s="3" t="s">
        <v>296</v>
      </c>
      <c r="F41" s="3" t="s">
        <v>296</v>
      </c>
      <c r="G41" s="3" t="s">
        <v>296</v>
      </c>
      <c r="H41" s="3" t="s">
        <v>296</v>
      </c>
      <c r="I41" s="3" t="s">
        <v>197</v>
      </c>
      <c r="J41" s="26" t="s">
        <v>353</v>
      </c>
      <c r="K41" s="9">
        <v>1245.5032395564899</v>
      </c>
    </row>
    <row r="42" spans="1:11" ht="17" x14ac:dyDescent="0.2">
      <c r="A42" s="3" t="s">
        <v>49</v>
      </c>
      <c r="B42" s="3" t="s">
        <v>166</v>
      </c>
      <c r="C42" s="3" t="s">
        <v>305</v>
      </c>
      <c r="D42" s="4"/>
      <c r="E42" s="3" t="s">
        <v>297</v>
      </c>
      <c r="F42" s="3" t="s">
        <v>10</v>
      </c>
      <c r="G42" s="3" t="s">
        <v>297</v>
      </c>
      <c r="H42" s="3" t="s">
        <v>10</v>
      </c>
      <c r="I42" s="3" t="s">
        <v>10</v>
      </c>
      <c r="J42" s="26" t="s">
        <v>348</v>
      </c>
      <c r="K42" s="3">
        <v>0.1</v>
      </c>
    </row>
    <row r="43" spans="1:11" ht="17" x14ac:dyDescent="0.2">
      <c r="A43" s="3" t="s">
        <v>50</v>
      </c>
      <c r="B43" s="3" t="s">
        <v>166</v>
      </c>
      <c r="C43" s="3" t="s">
        <v>305</v>
      </c>
      <c r="D43" s="4"/>
      <c r="E43" s="3" t="s">
        <v>296</v>
      </c>
      <c r="F43" s="3" t="s">
        <v>296</v>
      </c>
      <c r="G43" s="3" t="s">
        <v>297</v>
      </c>
      <c r="H43" s="3" t="s">
        <v>10</v>
      </c>
      <c r="I43" s="3" t="s">
        <v>198</v>
      </c>
      <c r="J43" s="26" t="s">
        <v>355</v>
      </c>
      <c r="K43" s="9">
        <v>132.98492500967501</v>
      </c>
    </row>
    <row r="44" spans="1:11" ht="34" x14ac:dyDescent="0.2">
      <c r="A44" s="3" t="s">
        <v>51</v>
      </c>
      <c r="B44" s="3" t="s">
        <v>166</v>
      </c>
      <c r="C44" s="3" t="s">
        <v>305</v>
      </c>
      <c r="D44" s="4"/>
      <c r="E44" s="3" t="s">
        <v>296</v>
      </c>
      <c r="F44" s="3" t="s">
        <v>297</v>
      </c>
      <c r="G44" s="3" t="s">
        <v>296</v>
      </c>
      <c r="H44" s="3" t="s">
        <v>296</v>
      </c>
      <c r="I44" s="3" t="s">
        <v>199</v>
      </c>
      <c r="J44" s="26" t="s">
        <v>352</v>
      </c>
      <c r="K44" s="10">
        <v>33571.6657357492</v>
      </c>
    </row>
    <row r="45" spans="1:11" ht="17" x14ac:dyDescent="0.2">
      <c r="A45" s="3" t="s">
        <v>52</v>
      </c>
      <c r="B45" s="3" t="s">
        <v>166</v>
      </c>
      <c r="C45" s="3" t="s">
        <v>305</v>
      </c>
      <c r="D45" s="4"/>
      <c r="E45" s="3" t="s">
        <v>296</v>
      </c>
      <c r="F45" s="3" t="s">
        <v>297</v>
      </c>
      <c r="G45" s="3" t="s">
        <v>297</v>
      </c>
      <c r="H45" s="3" t="s">
        <v>10</v>
      </c>
      <c r="I45" s="3" t="s">
        <v>10</v>
      </c>
      <c r="J45" s="26" t="s">
        <v>351</v>
      </c>
      <c r="K45" s="3">
        <v>1.26</v>
      </c>
    </row>
    <row r="46" spans="1:11" ht="17" x14ac:dyDescent="0.2">
      <c r="A46" s="2" t="s">
        <v>53</v>
      </c>
      <c r="B46" s="3" t="s">
        <v>166</v>
      </c>
      <c r="C46" s="3" t="s">
        <v>305</v>
      </c>
      <c r="D46" s="4"/>
      <c r="E46" s="3" t="s">
        <v>296</v>
      </c>
      <c r="F46" s="3" t="s">
        <v>296</v>
      </c>
      <c r="G46" s="3" t="s">
        <v>297</v>
      </c>
      <c r="H46" s="3" t="s">
        <v>10</v>
      </c>
      <c r="I46" s="3" t="s">
        <v>200</v>
      </c>
      <c r="J46" s="26" t="s">
        <v>350</v>
      </c>
      <c r="K46" s="9">
        <v>1202.0847302499101</v>
      </c>
    </row>
    <row r="47" spans="1:11" ht="17" x14ac:dyDescent="0.2">
      <c r="A47" s="2" t="s">
        <v>54</v>
      </c>
      <c r="B47" s="3" t="s">
        <v>166</v>
      </c>
      <c r="C47" s="3" t="s">
        <v>305</v>
      </c>
      <c r="D47" s="4"/>
      <c r="E47" s="3" t="s">
        <v>296</v>
      </c>
      <c r="F47" s="3" t="s">
        <v>297</v>
      </c>
      <c r="G47" s="3" t="s">
        <v>297</v>
      </c>
      <c r="H47" s="3" t="s">
        <v>10</v>
      </c>
      <c r="I47" s="3" t="s">
        <v>10</v>
      </c>
      <c r="J47" s="26" t="s">
        <v>358</v>
      </c>
      <c r="K47" s="3">
        <v>1.59</v>
      </c>
    </row>
    <row r="48" spans="1:11" ht="17" x14ac:dyDescent="0.2">
      <c r="A48" s="3" t="s">
        <v>55</v>
      </c>
      <c r="B48" s="3" t="s">
        <v>166</v>
      </c>
      <c r="C48" s="3" t="s">
        <v>305</v>
      </c>
      <c r="D48" s="4"/>
      <c r="E48" s="3" t="s">
        <v>296</v>
      </c>
      <c r="F48" s="3" t="s">
        <v>296</v>
      </c>
      <c r="G48" s="3" t="s">
        <v>297</v>
      </c>
      <c r="H48" s="3" t="s">
        <v>10</v>
      </c>
      <c r="I48" s="3" t="s">
        <v>201</v>
      </c>
      <c r="J48" s="26" t="s">
        <v>338</v>
      </c>
      <c r="K48" s="9">
        <v>603.20893275384003</v>
      </c>
    </row>
    <row r="49" spans="1:11" ht="17" x14ac:dyDescent="0.2">
      <c r="A49" s="3" t="s">
        <v>56</v>
      </c>
      <c r="B49" s="3" t="s">
        <v>166</v>
      </c>
      <c r="C49" s="3" t="s">
        <v>305</v>
      </c>
      <c r="D49" s="4"/>
      <c r="E49" s="3" t="s">
        <v>296</v>
      </c>
      <c r="F49" s="3" t="s">
        <v>296</v>
      </c>
      <c r="G49" s="3" t="s">
        <v>296</v>
      </c>
      <c r="H49" s="3" t="s">
        <v>296</v>
      </c>
      <c r="I49" s="3" t="s">
        <v>202</v>
      </c>
      <c r="J49" s="26" t="s">
        <v>361</v>
      </c>
      <c r="K49" s="9">
        <v>3975.3473497094001</v>
      </c>
    </row>
    <row r="50" spans="1:11" ht="17" x14ac:dyDescent="0.2">
      <c r="A50" s="3" t="s">
        <v>57</v>
      </c>
      <c r="B50" s="3" t="s">
        <v>166</v>
      </c>
      <c r="C50" s="3" t="s">
        <v>305</v>
      </c>
      <c r="D50" s="4"/>
      <c r="E50" s="3" t="s">
        <v>297</v>
      </c>
      <c r="F50" s="3" t="s">
        <v>10</v>
      </c>
      <c r="G50" s="3" t="s">
        <v>297</v>
      </c>
      <c r="H50" s="3" t="s">
        <v>10</v>
      </c>
      <c r="I50" s="3" t="s">
        <v>10</v>
      </c>
      <c r="J50" s="26" t="s">
        <v>363</v>
      </c>
      <c r="K50" s="3" t="s">
        <v>10</v>
      </c>
    </row>
    <row r="51" spans="1:11" ht="17" x14ac:dyDescent="0.2">
      <c r="A51" s="2" t="s">
        <v>58</v>
      </c>
      <c r="B51" s="3" t="s">
        <v>166</v>
      </c>
      <c r="C51" s="3" t="s">
        <v>305</v>
      </c>
      <c r="D51" s="4"/>
      <c r="E51" s="3" t="s">
        <v>296</v>
      </c>
      <c r="F51" s="3" t="s">
        <v>296</v>
      </c>
      <c r="G51" s="3" t="s">
        <v>297</v>
      </c>
      <c r="H51" s="3" t="s">
        <v>10</v>
      </c>
      <c r="I51" s="3" t="s">
        <v>203</v>
      </c>
      <c r="J51" s="26" t="s">
        <v>412</v>
      </c>
      <c r="K51" s="9">
        <v>2435.9097178049501</v>
      </c>
    </row>
    <row r="52" spans="1:11" ht="17" x14ac:dyDescent="0.2">
      <c r="A52" s="2" t="s">
        <v>59</v>
      </c>
      <c r="B52" s="3" t="s">
        <v>166</v>
      </c>
      <c r="C52" s="3" t="s">
        <v>305</v>
      </c>
      <c r="D52" s="4"/>
      <c r="E52" s="3" t="s">
        <v>297</v>
      </c>
      <c r="F52" s="3" t="s">
        <v>10</v>
      </c>
      <c r="G52" s="3" t="s">
        <v>296</v>
      </c>
      <c r="H52" s="3" t="s">
        <v>10</v>
      </c>
      <c r="I52" s="3" t="s">
        <v>10</v>
      </c>
      <c r="J52" s="26" t="s">
        <v>424</v>
      </c>
      <c r="K52" s="3">
        <v>0.56999999999999995</v>
      </c>
    </row>
    <row r="53" spans="1:11" ht="17" x14ac:dyDescent="0.2">
      <c r="A53" s="2" t="s">
        <v>60</v>
      </c>
      <c r="B53" s="3" t="s">
        <v>166</v>
      </c>
      <c r="C53" s="3" t="s">
        <v>305</v>
      </c>
      <c r="D53" s="4"/>
      <c r="E53" s="3" t="s">
        <v>296</v>
      </c>
      <c r="F53" s="3" t="s">
        <v>296</v>
      </c>
      <c r="G53" s="3" t="s">
        <v>296</v>
      </c>
      <c r="H53" s="3" t="s">
        <v>296</v>
      </c>
      <c r="I53" s="3" t="s">
        <v>204</v>
      </c>
      <c r="J53" s="26" t="s">
        <v>433</v>
      </c>
      <c r="K53" s="9">
        <v>2802.6225484274401</v>
      </c>
    </row>
    <row r="54" spans="1:11" ht="17" x14ac:dyDescent="0.2">
      <c r="A54" s="3" t="s">
        <v>61</v>
      </c>
      <c r="B54" s="3" t="s">
        <v>166</v>
      </c>
      <c r="C54" s="3" t="s">
        <v>305</v>
      </c>
      <c r="D54" s="4"/>
      <c r="E54" s="3" t="s">
        <v>297</v>
      </c>
      <c r="F54" s="3" t="s">
        <v>10</v>
      </c>
      <c r="G54" s="3" t="s">
        <v>297</v>
      </c>
      <c r="H54" s="3" t="s">
        <v>10</v>
      </c>
      <c r="I54" s="3" t="s">
        <v>10</v>
      </c>
      <c r="J54" s="26" t="s">
        <v>432</v>
      </c>
      <c r="K54" s="3" t="s">
        <v>10</v>
      </c>
    </row>
    <row r="55" spans="1:11" ht="17" x14ac:dyDescent="0.2">
      <c r="A55" s="2" t="s">
        <v>62</v>
      </c>
      <c r="B55" s="3" t="s">
        <v>166</v>
      </c>
      <c r="C55" s="3" t="s">
        <v>305</v>
      </c>
      <c r="D55" s="4"/>
      <c r="E55" s="3" t="s">
        <v>296</v>
      </c>
      <c r="F55" s="3" t="s">
        <v>296</v>
      </c>
      <c r="G55" s="3" t="s">
        <v>297</v>
      </c>
      <c r="H55" s="3" t="s">
        <v>10</v>
      </c>
      <c r="I55" s="3" t="s">
        <v>205</v>
      </c>
      <c r="J55" s="26" t="s">
        <v>431</v>
      </c>
      <c r="K55" s="9">
        <v>642.05872519874299</v>
      </c>
    </row>
    <row r="56" spans="1:11" ht="17" x14ac:dyDescent="0.2">
      <c r="A56" s="2" t="s">
        <v>63</v>
      </c>
      <c r="B56" s="3" t="s">
        <v>166</v>
      </c>
      <c r="C56" s="3" t="s">
        <v>305</v>
      </c>
      <c r="D56" s="4"/>
      <c r="E56" s="3" t="s">
        <v>296</v>
      </c>
      <c r="F56" s="3" t="s">
        <v>296</v>
      </c>
      <c r="G56" s="3" t="s">
        <v>296</v>
      </c>
      <c r="H56" s="3" t="s">
        <v>296</v>
      </c>
      <c r="I56" s="3" t="s">
        <v>207</v>
      </c>
      <c r="J56" s="26" t="s">
        <v>421</v>
      </c>
      <c r="K56" s="9">
        <v>5206.8721242824004</v>
      </c>
    </row>
    <row r="57" spans="1:11" ht="17" x14ac:dyDescent="0.2">
      <c r="A57" s="2" t="s">
        <v>64</v>
      </c>
      <c r="B57" s="3" t="s">
        <v>166</v>
      </c>
      <c r="C57" s="3" t="s">
        <v>305</v>
      </c>
      <c r="D57" s="4"/>
      <c r="E57" s="3" t="s">
        <v>296</v>
      </c>
      <c r="F57" s="3" t="s">
        <v>296</v>
      </c>
      <c r="G57" s="3" t="s">
        <v>296</v>
      </c>
      <c r="H57" s="3" t="s">
        <v>296</v>
      </c>
      <c r="I57" s="3" t="s">
        <v>206</v>
      </c>
      <c r="J57" s="26" t="s">
        <v>429</v>
      </c>
      <c r="K57" s="9">
        <v>954.02404517916705</v>
      </c>
    </row>
    <row r="58" spans="1:11" ht="17" x14ac:dyDescent="0.2">
      <c r="A58" s="2" t="s">
        <v>65</v>
      </c>
      <c r="B58" s="3" t="s">
        <v>166</v>
      </c>
      <c r="C58" s="3" t="s">
        <v>305</v>
      </c>
      <c r="D58" s="4"/>
      <c r="E58" s="3" t="s">
        <v>296</v>
      </c>
      <c r="F58" s="3" t="s">
        <v>296</v>
      </c>
      <c r="G58" s="3" t="s">
        <v>296</v>
      </c>
      <c r="H58" s="3" t="s">
        <v>296</v>
      </c>
      <c r="I58" s="3" t="s">
        <v>209</v>
      </c>
      <c r="J58" s="26" t="s">
        <v>423</v>
      </c>
      <c r="K58" s="9">
        <v>3958.8283289748802</v>
      </c>
    </row>
    <row r="59" spans="1:11" ht="17" x14ac:dyDescent="0.2">
      <c r="A59" s="2" t="s">
        <v>66</v>
      </c>
      <c r="B59" s="3" t="s">
        <v>166</v>
      </c>
      <c r="C59" s="3" t="s">
        <v>305</v>
      </c>
      <c r="D59" s="4"/>
      <c r="E59" s="3" t="s">
        <v>296</v>
      </c>
      <c r="F59" s="3" t="s">
        <v>296</v>
      </c>
      <c r="G59" s="3" t="s">
        <v>296</v>
      </c>
      <c r="H59" s="3" t="s">
        <v>296</v>
      </c>
      <c r="I59" s="3" t="s">
        <v>208</v>
      </c>
      <c r="J59" s="26" t="s">
        <v>425</v>
      </c>
      <c r="K59" s="9">
        <v>1645.04163893396</v>
      </c>
    </row>
    <row r="60" spans="1:11" ht="17" x14ac:dyDescent="0.2">
      <c r="A60" s="2" t="s">
        <v>67</v>
      </c>
      <c r="B60" s="3" t="s">
        <v>166</v>
      </c>
      <c r="C60" s="3" t="s">
        <v>305</v>
      </c>
      <c r="D60" s="4"/>
      <c r="E60" s="3" t="s">
        <v>296</v>
      </c>
      <c r="F60" s="3" t="s">
        <v>297</v>
      </c>
      <c r="G60" s="3" t="s">
        <v>297</v>
      </c>
      <c r="H60" s="3" t="s">
        <v>10</v>
      </c>
      <c r="I60" s="3" t="s">
        <v>10</v>
      </c>
      <c r="J60" s="26" t="s">
        <v>435</v>
      </c>
      <c r="K60" s="3">
        <v>2.44</v>
      </c>
    </row>
    <row r="61" spans="1:11" ht="17" x14ac:dyDescent="0.2">
      <c r="A61" s="2" t="s">
        <v>68</v>
      </c>
      <c r="B61" s="3" t="s">
        <v>166</v>
      </c>
      <c r="C61" s="3" t="s">
        <v>305</v>
      </c>
      <c r="D61" s="4"/>
      <c r="E61" s="3" t="s">
        <v>296</v>
      </c>
      <c r="F61" s="3" t="s">
        <v>296</v>
      </c>
      <c r="G61" s="3" t="s">
        <v>296</v>
      </c>
      <c r="H61" s="3" t="s">
        <v>296</v>
      </c>
      <c r="I61" s="3" t="s">
        <v>210</v>
      </c>
      <c r="J61" s="26" t="s">
        <v>422</v>
      </c>
      <c r="K61" s="9">
        <v>18123.151949163599</v>
      </c>
    </row>
    <row r="62" spans="1:11" ht="17" x14ac:dyDescent="0.2">
      <c r="A62" s="2" t="s">
        <v>69</v>
      </c>
      <c r="B62" s="3" t="s">
        <v>166</v>
      </c>
      <c r="C62" s="3" t="s">
        <v>305</v>
      </c>
      <c r="D62" s="4"/>
      <c r="E62" s="3" t="s">
        <v>296</v>
      </c>
      <c r="F62" s="3" t="s">
        <v>296</v>
      </c>
      <c r="G62" s="3" t="s">
        <v>297</v>
      </c>
      <c r="H62" s="3" t="s">
        <v>10</v>
      </c>
      <c r="I62" s="3" t="s">
        <v>211</v>
      </c>
      <c r="J62" s="26" t="s">
        <v>416</v>
      </c>
      <c r="K62" s="9">
        <v>2916.8050621212301</v>
      </c>
    </row>
    <row r="63" spans="1:11" ht="17" x14ac:dyDescent="0.2">
      <c r="A63" s="2" t="s">
        <v>70</v>
      </c>
      <c r="B63" s="3" t="s">
        <v>166</v>
      </c>
      <c r="C63" s="3" t="s">
        <v>305</v>
      </c>
      <c r="D63" s="4"/>
      <c r="E63" s="3" t="s">
        <v>296</v>
      </c>
      <c r="F63" s="3" t="s">
        <v>296</v>
      </c>
      <c r="G63" s="3" t="s">
        <v>296</v>
      </c>
      <c r="H63" s="3" t="s">
        <v>296</v>
      </c>
      <c r="I63" s="3" t="s">
        <v>212</v>
      </c>
      <c r="J63" s="26" t="s">
        <v>430</v>
      </c>
      <c r="K63" s="9">
        <v>56683.168633700603</v>
      </c>
    </row>
    <row r="64" spans="1:11" ht="17" x14ac:dyDescent="0.2">
      <c r="A64" s="3" t="s">
        <v>71</v>
      </c>
      <c r="B64" s="3" t="s">
        <v>166</v>
      </c>
      <c r="C64" s="3" t="s">
        <v>305</v>
      </c>
      <c r="D64" s="4"/>
      <c r="E64" s="3" t="s">
        <v>296</v>
      </c>
      <c r="F64" s="3" t="s">
        <v>296</v>
      </c>
      <c r="G64" s="3" t="s">
        <v>296</v>
      </c>
      <c r="H64" s="3" t="s">
        <v>296</v>
      </c>
      <c r="I64" s="3" t="s">
        <v>213</v>
      </c>
      <c r="J64" s="26" t="s">
        <v>427</v>
      </c>
      <c r="K64" s="9">
        <v>2914.6824778443502</v>
      </c>
    </row>
    <row r="65" spans="1:11" ht="17" x14ac:dyDescent="0.2">
      <c r="A65" s="3" t="s">
        <v>72</v>
      </c>
      <c r="B65" s="3" t="s">
        <v>166</v>
      </c>
      <c r="C65" s="3" t="s">
        <v>305</v>
      </c>
      <c r="D65" s="4"/>
      <c r="E65" s="3" t="s">
        <v>296</v>
      </c>
      <c r="F65" s="3" t="s">
        <v>297</v>
      </c>
      <c r="G65" s="3" t="s">
        <v>297</v>
      </c>
      <c r="H65" s="3" t="s">
        <v>10</v>
      </c>
      <c r="I65" s="3" t="s">
        <v>214</v>
      </c>
      <c r="J65" s="26" t="s">
        <v>442</v>
      </c>
      <c r="K65" s="9">
        <v>237.419230173844</v>
      </c>
    </row>
    <row r="66" spans="1:11" ht="17" x14ac:dyDescent="0.2">
      <c r="A66" s="3" t="s">
        <v>73</v>
      </c>
      <c r="B66" s="3" t="s">
        <v>166</v>
      </c>
      <c r="C66" s="3" t="s">
        <v>305</v>
      </c>
      <c r="D66" s="4"/>
      <c r="E66" s="3" t="s">
        <v>296</v>
      </c>
      <c r="F66" s="3" t="s">
        <v>297</v>
      </c>
      <c r="G66" s="3" t="s">
        <v>296</v>
      </c>
      <c r="H66" s="3" t="s">
        <v>297</v>
      </c>
      <c r="I66" s="3" t="s">
        <v>10</v>
      </c>
      <c r="J66" s="26" t="s">
        <v>438</v>
      </c>
      <c r="K66" s="3">
        <v>1.61</v>
      </c>
    </row>
    <row r="67" spans="1:11" ht="17" x14ac:dyDescent="0.2">
      <c r="A67" s="3" t="s">
        <v>74</v>
      </c>
      <c r="B67" s="3" t="s">
        <v>166</v>
      </c>
      <c r="C67" s="3" t="s">
        <v>305</v>
      </c>
      <c r="D67" s="4"/>
      <c r="E67" s="3" t="s">
        <v>296</v>
      </c>
      <c r="F67" s="3" t="s">
        <v>296</v>
      </c>
      <c r="G67" s="3" t="s">
        <v>297</v>
      </c>
      <c r="H67" s="3" t="s">
        <v>10</v>
      </c>
      <c r="I67" s="3" t="s">
        <v>215</v>
      </c>
      <c r="J67" s="26" t="s">
        <v>418</v>
      </c>
      <c r="K67" s="10">
        <v>205.35557080987101</v>
      </c>
    </row>
    <row r="68" spans="1:11" ht="17" x14ac:dyDescent="0.2">
      <c r="A68" s="3" t="s">
        <v>75</v>
      </c>
      <c r="B68" s="3" t="s">
        <v>166</v>
      </c>
      <c r="C68" s="3" t="s">
        <v>306</v>
      </c>
      <c r="D68" s="4"/>
      <c r="E68" s="3" t="s">
        <v>296</v>
      </c>
      <c r="F68" s="3" t="s">
        <v>296</v>
      </c>
      <c r="G68" s="3" t="s">
        <v>297</v>
      </c>
      <c r="H68" s="3" t="s">
        <v>10</v>
      </c>
      <c r="I68" s="3" t="s">
        <v>242</v>
      </c>
      <c r="J68" s="26" t="s">
        <v>440</v>
      </c>
      <c r="K68" s="9">
        <v>489.12550187189902</v>
      </c>
    </row>
    <row r="69" spans="1:11" ht="17" x14ac:dyDescent="0.2">
      <c r="A69" s="3" t="s">
        <v>76</v>
      </c>
      <c r="B69" s="3" t="s">
        <v>166</v>
      </c>
      <c r="C69" s="3" t="s">
        <v>306</v>
      </c>
      <c r="D69" s="4"/>
      <c r="E69" s="3" t="s">
        <v>296</v>
      </c>
      <c r="F69" s="3" t="s">
        <v>296</v>
      </c>
      <c r="G69" s="3" t="s">
        <v>297</v>
      </c>
      <c r="H69" s="3" t="s">
        <v>10</v>
      </c>
      <c r="I69" s="3" t="s">
        <v>243</v>
      </c>
      <c r="J69" s="26" t="s">
        <v>439</v>
      </c>
      <c r="K69" s="9">
        <v>653.925479681723</v>
      </c>
    </row>
    <row r="70" spans="1:11" ht="17" x14ac:dyDescent="0.2">
      <c r="A70" s="3" t="s">
        <v>77</v>
      </c>
      <c r="B70" s="3" t="s">
        <v>166</v>
      </c>
      <c r="C70" s="3" t="s">
        <v>306</v>
      </c>
      <c r="D70" s="4"/>
      <c r="E70" s="3" t="s">
        <v>296</v>
      </c>
      <c r="F70" s="3" t="s">
        <v>296</v>
      </c>
      <c r="G70" s="3" t="s">
        <v>296</v>
      </c>
      <c r="H70" s="3" t="s">
        <v>296</v>
      </c>
      <c r="I70" s="3" t="s">
        <v>244</v>
      </c>
      <c r="J70" s="26" t="s">
        <v>418</v>
      </c>
      <c r="K70" s="9">
        <v>62982.738163752299</v>
      </c>
    </row>
    <row r="71" spans="1:11" ht="17" x14ac:dyDescent="0.2">
      <c r="A71" s="3" t="s">
        <v>78</v>
      </c>
      <c r="B71" s="3" t="s">
        <v>166</v>
      </c>
      <c r="C71" s="3" t="s">
        <v>306</v>
      </c>
      <c r="D71" s="4"/>
      <c r="E71" s="3" t="s">
        <v>297</v>
      </c>
      <c r="F71" s="3" t="s">
        <v>10</v>
      </c>
      <c r="G71" s="3" t="s">
        <v>297</v>
      </c>
      <c r="H71" s="3" t="s">
        <v>10</v>
      </c>
      <c r="I71" s="3" t="s">
        <v>10</v>
      </c>
      <c r="J71" s="26" t="s">
        <v>441</v>
      </c>
      <c r="K71" s="3">
        <v>0.44</v>
      </c>
    </row>
    <row r="72" spans="1:11" ht="17" x14ac:dyDescent="0.2">
      <c r="A72" s="3" t="s">
        <v>79</v>
      </c>
      <c r="B72" s="3" t="s">
        <v>166</v>
      </c>
      <c r="C72" s="3" t="s">
        <v>306</v>
      </c>
      <c r="D72" s="4"/>
      <c r="E72" s="3" t="s">
        <v>296</v>
      </c>
      <c r="F72" s="3" t="s">
        <v>296</v>
      </c>
      <c r="G72" s="3" t="s">
        <v>297</v>
      </c>
      <c r="H72" s="3" t="s">
        <v>10</v>
      </c>
      <c r="I72" s="3" t="s">
        <v>245</v>
      </c>
      <c r="J72" s="26" t="s">
        <v>417</v>
      </c>
      <c r="K72" s="9">
        <v>1357.8919948616699</v>
      </c>
    </row>
    <row r="73" spans="1:11" ht="17" x14ac:dyDescent="0.2">
      <c r="A73" s="3" t="s">
        <v>80</v>
      </c>
      <c r="B73" s="3" t="s">
        <v>166</v>
      </c>
      <c r="C73" s="3" t="s">
        <v>307</v>
      </c>
      <c r="D73" s="4"/>
      <c r="E73" s="3" t="s">
        <v>297</v>
      </c>
      <c r="F73" s="3" t="s">
        <v>10</v>
      </c>
      <c r="G73" s="3" t="s">
        <v>297</v>
      </c>
      <c r="H73" s="3" t="s">
        <v>10</v>
      </c>
      <c r="I73" s="3" t="s">
        <v>10</v>
      </c>
      <c r="J73" s="26" t="s">
        <v>437</v>
      </c>
      <c r="K73" s="3" t="s">
        <v>10</v>
      </c>
    </row>
    <row r="74" spans="1:11" ht="17" x14ac:dyDescent="0.2">
      <c r="A74" s="3" t="s">
        <v>81</v>
      </c>
      <c r="B74" s="3" t="s">
        <v>166</v>
      </c>
      <c r="C74" s="3" t="s">
        <v>307</v>
      </c>
      <c r="D74" s="4"/>
      <c r="E74" s="3" t="s">
        <v>296</v>
      </c>
      <c r="F74" s="3" t="s">
        <v>296</v>
      </c>
      <c r="G74" s="3" t="s">
        <v>296</v>
      </c>
      <c r="H74" s="3" t="s">
        <v>296</v>
      </c>
      <c r="I74" s="3" t="s">
        <v>246</v>
      </c>
      <c r="J74" s="26" t="s">
        <v>419</v>
      </c>
      <c r="K74" s="9">
        <v>4506.7285256904497</v>
      </c>
    </row>
    <row r="75" spans="1:11" ht="17" x14ac:dyDescent="0.2">
      <c r="A75" s="3" t="s">
        <v>82</v>
      </c>
      <c r="B75" s="3" t="s">
        <v>166</v>
      </c>
      <c r="C75" s="3" t="s">
        <v>308</v>
      </c>
      <c r="D75" s="4"/>
      <c r="E75" s="3" t="s">
        <v>296</v>
      </c>
      <c r="F75" s="3" t="s">
        <v>296</v>
      </c>
      <c r="G75" s="3" t="s">
        <v>297</v>
      </c>
      <c r="H75" s="3" t="s">
        <v>10</v>
      </c>
      <c r="I75" s="3" t="s">
        <v>247</v>
      </c>
      <c r="J75" s="26" t="s">
        <v>420</v>
      </c>
      <c r="K75" s="9">
        <v>269.63527692781003</v>
      </c>
    </row>
    <row r="76" spans="1:11" ht="17" x14ac:dyDescent="0.2">
      <c r="A76" s="3" t="s">
        <v>83</v>
      </c>
      <c r="B76" s="3" t="s">
        <v>166</v>
      </c>
      <c r="C76" s="3" t="s">
        <v>308</v>
      </c>
      <c r="D76" s="4"/>
      <c r="E76" s="3" t="s">
        <v>296</v>
      </c>
      <c r="F76" s="3" t="s">
        <v>296</v>
      </c>
      <c r="G76" s="3" t="s">
        <v>297</v>
      </c>
      <c r="H76" s="3" t="s">
        <v>10</v>
      </c>
      <c r="I76" s="3" t="s">
        <v>248</v>
      </c>
      <c r="J76" s="26" t="s">
        <v>452</v>
      </c>
      <c r="K76" s="9">
        <v>1130.62112243046</v>
      </c>
    </row>
    <row r="77" spans="1:11" ht="17" x14ac:dyDescent="0.2">
      <c r="A77" s="3" t="s">
        <v>84</v>
      </c>
      <c r="B77" s="3" t="s">
        <v>166</v>
      </c>
      <c r="C77" s="3" t="s">
        <v>308</v>
      </c>
      <c r="D77" s="4"/>
      <c r="E77" s="3" t="s">
        <v>297</v>
      </c>
      <c r="F77" s="3" t="s">
        <v>10</v>
      </c>
      <c r="G77" s="3" t="s">
        <v>297</v>
      </c>
      <c r="H77" s="3" t="s">
        <v>10</v>
      </c>
      <c r="I77" s="3" t="s">
        <v>10</v>
      </c>
      <c r="J77" s="26" t="s">
        <v>469</v>
      </c>
      <c r="K77" s="3">
        <v>0.16</v>
      </c>
    </row>
    <row r="78" spans="1:11" ht="17" x14ac:dyDescent="0.2">
      <c r="A78" s="3" t="s">
        <v>85</v>
      </c>
      <c r="B78" s="3" t="s">
        <v>166</v>
      </c>
      <c r="C78" s="3" t="s">
        <v>308</v>
      </c>
      <c r="D78" s="4"/>
      <c r="E78" s="3" t="s">
        <v>297</v>
      </c>
      <c r="F78" s="3" t="s">
        <v>10</v>
      </c>
      <c r="G78" s="3" t="s">
        <v>297</v>
      </c>
      <c r="H78" s="3" t="s">
        <v>10</v>
      </c>
      <c r="I78" s="3" t="s">
        <v>10</v>
      </c>
      <c r="J78" s="26" t="s">
        <v>470</v>
      </c>
      <c r="K78" s="8" t="s">
        <v>10</v>
      </c>
    </row>
    <row r="79" spans="1:11" ht="17" x14ac:dyDescent="0.2">
      <c r="A79" s="3" t="s">
        <v>86</v>
      </c>
      <c r="B79" s="3" t="s">
        <v>166</v>
      </c>
      <c r="C79" s="3" t="s">
        <v>308</v>
      </c>
      <c r="D79" s="4"/>
      <c r="E79" s="3" t="s">
        <v>296</v>
      </c>
      <c r="F79" s="3" t="s">
        <v>296</v>
      </c>
      <c r="G79" s="3" t="s">
        <v>296</v>
      </c>
      <c r="H79" s="3" t="s">
        <v>296</v>
      </c>
      <c r="I79" s="3" t="s">
        <v>249</v>
      </c>
      <c r="J79" s="26" t="s">
        <v>453</v>
      </c>
      <c r="K79" s="9">
        <v>2960.2639160918302</v>
      </c>
    </row>
    <row r="80" spans="1:11" ht="17" x14ac:dyDescent="0.2">
      <c r="A80" s="3" t="s">
        <v>87</v>
      </c>
      <c r="B80" s="3" t="s">
        <v>166</v>
      </c>
      <c r="C80" s="3" t="s">
        <v>308</v>
      </c>
      <c r="D80" s="4"/>
      <c r="E80" s="3" t="s">
        <v>296</v>
      </c>
      <c r="F80" s="3" t="s">
        <v>296</v>
      </c>
      <c r="G80" s="3" t="s">
        <v>296</v>
      </c>
      <c r="H80" s="3" t="s">
        <v>296</v>
      </c>
      <c r="I80" s="3" t="s">
        <v>250</v>
      </c>
      <c r="J80" s="26" t="s">
        <v>455</v>
      </c>
      <c r="K80" s="9">
        <v>1692.9028754763699</v>
      </c>
    </row>
    <row r="81" spans="1:11" ht="17" x14ac:dyDescent="0.2">
      <c r="A81" s="3" t="s">
        <v>88</v>
      </c>
      <c r="B81" s="3" t="s">
        <v>166</v>
      </c>
      <c r="C81" s="3" t="s">
        <v>308</v>
      </c>
      <c r="D81" s="4"/>
      <c r="E81" s="3" t="s">
        <v>296</v>
      </c>
      <c r="F81" s="3" t="s">
        <v>296</v>
      </c>
      <c r="G81" s="3" t="s">
        <v>296</v>
      </c>
      <c r="H81" s="3" t="s">
        <v>296</v>
      </c>
      <c r="I81" s="3" t="s">
        <v>251</v>
      </c>
      <c r="J81" s="26" t="s">
        <v>447</v>
      </c>
      <c r="K81" s="9">
        <v>2576.2752443119298</v>
      </c>
    </row>
    <row r="82" spans="1:11" ht="17" x14ac:dyDescent="0.2">
      <c r="A82" s="3" t="s">
        <v>89</v>
      </c>
      <c r="B82" s="3" t="s">
        <v>166</v>
      </c>
      <c r="C82" s="3" t="s">
        <v>308</v>
      </c>
      <c r="D82" s="4"/>
      <c r="E82" s="3" t="s">
        <v>296</v>
      </c>
      <c r="F82" s="3" t="s">
        <v>296</v>
      </c>
      <c r="G82" s="3" t="s">
        <v>296</v>
      </c>
      <c r="H82" s="3" t="s">
        <v>296</v>
      </c>
      <c r="I82" s="3" t="s">
        <v>252</v>
      </c>
      <c r="J82" s="26" t="s">
        <v>449</v>
      </c>
      <c r="K82" s="9">
        <v>4147.8248286930002</v>
      </c>
    </row>
    <row r="83" spans="1:11" ht="17" x14ac:dyDescent="0.2">
      <c r="A83" s="3" t="s">
        <v>90</v>
      </c>
      <c r="B83" s="3" t="s">
        <v>166</v>
      </c>
      <c r="C83" s="3" t="s">
        <v>308</v>
      </c>
      <c r="D83" s="4"/>
      <c r="E83" s="3" t="s">
        <v>296</v>
      </c>
      <c r="F83" s="3" t="s">
        <v>296</v>
      </c>
      <c r="G83" s="3" t="s">
        <v>296</v>
      </c>
      <c r="H83" s="3" t="s">
        <v>296</v>
      </c>
      <c r="I83" s="3" t="s">
        <v>253</v>
      </c>
      <c r="J83" s="26" t="s">
        <v>448</v>
      </c>
      <c r="K83" s="9">
        <v>4751.7367807866804</v>
      </c>
    </row>
    <row r="84" spans="1:11" ht="17" x14ac:dyDescent="0.2">
      <c r="A84" s="3" t="s">
        <v>91</v>
      </c>
      <c r="B84" s="3" t="s">
        <v>166</v>
      </c>
      <c r="C84" s="3" t="s">
        <v>308</v>
      </c>
      <c r="D84" s="4"/>
      <c r="E84" s="3" t="s">
        <v>296</v>
      </c>
      <c r="F84" s="3" t="s">
        <v>297</v>
      </c>
      <c r="G84" s="3" t="s">
        <v>297</v>
      </c>
      <c r="H84" s="3" t="s">
        <v>10</v>
      </c>
      <c r="I84" s="3" t="s">
        <v>10</v>
      </c>
      <c r="J84" s="26" t="s">
        <v>445</v>
      </c>
      <c r="K84" s="3">
        <v>0.46</v>
      </c>
    </row>
    <row r="85" spans="1:11" ht="17" x14ac:dyDescent="0.2">
      <c r="A85" s="3" t="s">
        <v>92</v>
      </c>
      <c r="B85" s="3" t="s">
        <v>166</v>
      </c>
      <c r="C85" s="3" t="s">
        <v>481</v>
      </c>
      <c r="D85" s="4" t="s">
        <v>171</v>
      </c>
      <c r="E85" s="3" t="s">
        <v>297</v>
      </c>
      <c r="F85" s="3" t="s">
        <v>10</v>
      </c>
      <c r="G85" s="3" t="s">
        <v>297</v>
      </c>
      <c r="H85" s="3" t="s">
        <v>10</v>
      </c>
      <c r="I85" s="3" t="s">
        <v>10</v>
      </c>
      <c r="J85" s="26" t="s">
        <v>451</v>
      </c>
      <c r="K85" s="3" t="s">
        <v>10</v>
      </c>
    </row>
    <row r="86" spans="1:11" ht="17" x14ac:dyDescent="0.2">
      <c r="A86" s="3" t="s">
        <v>93</v>
      </c>
      <c r="B86" s="3" t="s">
        <v>166</v>
      </c>
      <c r="C86" s="3" t="s">
        <v>315</v>
      </c>
      <c r="D86" s="4"/>
      <c r="E86" s="3" t="s">
        <v>296</v>
      </c>
      <c r="F86" s="3" t="s">
        <v>296</v>
      </c>
      <c r="G86" s="3" t="s">
        <v>297</v>
      </c>
      <c r="H86" s="3" t="s">
        <v>10</v>
      </c>
      <c r="I86" s="3" t="s">
        <v>254</v>
      </c>
      <c r="J86" s="26" t="s">
        <v>443</v>
      </c>
      <c r="K86" s="9">
        <v>1173.7671236181</v>
      </c>
    </row>
    <row r="87" spans="1:11" ht="17" x14ac:dyDescent="0.2">
      <c r="A87" s="3" t="s">
        <v>94</v>
      </c>
      <c r="B87" s="3" t="s">
        <v>166</v>
      </c>
      <c r="C87" s="3" t="s">
        <v>315</v>
      </c>
      <c r="D87" s="4"/>
      <c r="E87" s="3" t="s">
        <v>296</v>
      </c>
      <c r="F87" s="3" t="s">
        <v>296</v>
      </c>
      <c r="G87" s="3" t="s">
        <v>296</v>
      </c>
      <c r="H87" s="3" t="s">
        <v>296</v>
      </c>
      <c r="I87" s="3" t="s">
        <v>255</v>
      </c>
      <c r="J87" s="26" t="s">
        <v>446</v>
      </c>
      <c r="K87" s="9">
        <v>83.227931418470007</v>
      </c>
    </row>
    <row r="88" spans="1:11" ht="17" x14ac:dyDescent="0.2">
      <c r="A88" s="3" t="s">
        <v>115</v>
      </c>
      <c r="B88" s="3" t="s">
        <v>166</v>
      </c>
      <c r="C88" s="3" t="s">
        <v>482</v>
      </c>
      <c r="D88" s="5"/>
      <c r="E88" s="3" t="s">
        <v>297</v>
      </c>
      <c r="F88" s="3" t="s">
        <v>10</v>
      </c>
      <c r="G88" s="3" t="s">
        <v>297</v>
      </c>
      <c r="H88" s="3" t="s">
        <v>10</v>
      </c>
      <c r="I88" s="3" t="s">
        <v>10</v>
      </c>
      <c r="J88" s="26" t="s">
        <v>342</v>
      </c>
      <c r="K88" s="3">
        <v>0.05</v>
      </c>
    </row>
    <row r="89" spans="1:11" ht="17" x14ac:dyDescent="0.2">
      <c r="A89" s="3" t="s">
        <v>116</v>
      </c>
      <c r="B89" s="3" t="s">
        <v>166</v>
      </c>
      <c r="C89" s="3" t="s">
        <v>482</v>
      </c>
      <c r="D89" s="5"/>
      <c r="E89" s="3" t="s">
        <v>297</v>
      </c>
      <c r="F89" s="3" t="s">
        <v>10</v>
      </c>
      <c r="G89" s="3" t="s">
        <v>297</v>
      </c>
      <c r="H89" s="3" t="s">
        <v>10</v>
      </c>
      <c r="I89" s="3" t="s">
        <v>10</v>
      </c>
      <c r="J89" s="26" t="s">
        <v>346</v>
      </c>
      <c r="K89" s="3" t="s">
        <v>10</v>
      </c>
    </row>
    <row r="90" spans="1:11" ht="17" x14ac:dyDescent="0.2">
      <c r="A90" s="3" t="s">
        <v>117</v>
      </c>
      <c r="B90" s="3" t="s">
        <v>166</v>
      </c>
      <c r="C90" s="3" t="s">
        <v>481</v>
      </c>
      <c r="D90" s="5"/>
      <c r="E90" s="3" t="s">
        <v>296</v>
      </c>
      <c r="F90" s="3" t="s">
        <v>296</v>
      </c>
      <c r="G90" s="3" t="s">
        <v>297</v>
      </c>
      <c r="H90" s="3" t="s">
        <v>10</v>
      </c>
      <c r="I90" s="3" t="s">
        <v>194</v>
      </c>
      <c r="J90" s="26" t="s">
        <v>341</v>
      </c>
      <c r="K90" s="9">
        <v>141.44236311113201</v>
      </c>
    </row>
    <row r="91" spans="1:11" ht="17" x14ac:dyDescent="0.2">
      <c r="A91" s="3" t="s">
        <v>118</v>
      </c>
      <c r="B91" s="3" t="s">
        <v>166</v>
      </c>
      <c r="C91" s="3" t="s">
        <v>310</v>
      </c>
      <c r="D91" s="5"/>
      <c r="E91" s="3" t="s">
        <v>296</v>
      </c>
      <c r="F91" s="3" t="s">
        <v>297</v>
      </c>
      <c r="G91" s="3" t="s">
        <v>297</v>
      </c>
      <c r="H91" s="3" t="s">
        <v>10</v>
      </c>
      <c r="I91" s="3" t="s">
        <v>10</v>
      </c>
      <c r="J91" s="26" t="s">
        <v>364</v>
      </c>
      <c r="K91" s="3">
        <v>1.81</v>
      </c>
    </row>
    <row r="92" spans="1:11" ht="17" x14ac:dyDescent="0.2">
      <c r="A92" s="3" t="s">
        <v>119</v>
      </c>
      <c r="B92" s="3" t="s">
        <v>166</v>
      </c>
      <c r="C92" s="3" t="s">
        <v>316</v>
      </c>
      <c r="D92" s="5"/>
      <c r="E92" s="3" t="s">
        <v>296</v>
      </c>
      <c r="F92" s="3" t="s">
        <v>296</v>
      </c>
      <c r="G92" s="3" t="s">
        <v>296</v>
      </c>
      <c r="H92" s="3" t="s">
        <v>296</v>
      </c>
      <c r="I92" s="3" t="s">
        <v>196</v>
      </c>
      <c r="J92" s="26" t="s">
        <v>367</v>
      </c>
      <c r="K92" s="9">
        <v>2286.0010395654899</v>
      </c>
    </row>
    <row r="93" spans="1:11" ht="17" x14ac:dyDescent="0.2">
      <c r="A93" s="3" t="s">
        <v>120</v>
      </c>
      <c r="B93" s="3" t="s">
        <v>166</v>
      </c>
      <c r="C93" s="3" t="s">
        <v>311</v>
      </c>
      <c r="D93" s="4"/>
      <c r="E93" s="3" t="s">
        <v>296</v>
      </c>
      <c r="F93" s="3" t="s">
        <v>297</v>
      </c>
      <c r="G93" s="3" t="s">
        <v>296</v>
      </c>
      <c r="H93" s="3" t="s">
        <v>297</v>
      </c>
      <c r="I93" s="3" t="s">
        <v>10</v>
      </c>
      <c r="J93" s="26" t="s">
        <v>362</v>
      </c>
      <c r="K93" s="3">
        <v>1.03</v>
      </c>
    </row>
    <row r="94" spans="1:11" ht="17" x14ac:dyDescent="0.2">
      <c r="A94" s="3" t="s">
        <v>121</v>
      </c>
      <c r="B94" s="3" t="s">
        <v>166</v>
      </c>
      <c r="C94" s="3" t="s">
        <v>311</v>
      </c>
      <c r="D94" s="4"/>
      <c r="E94" s="3" t="s">
        <v>296</v>
      </c>
      <c r="F94" s="3" t="s">
        <v>296</v>
      </c>
      <c r="G94" s="3" t="s">
        <v>296</v>
      </c>
      <c r="H94" s="3" t="s">
        <v>296</v>
      </c>
      <c r="I94" s="3" t="s">
        <v>275</v>
      </c>
      <c r="J94" s="26" t="s">
        <v>366</v>
      </c>
      <c r="K94" s="9">
        <v>2480.5245329208901</v>
      </c>
    </row>
    <row r="95" spans="1:11" ht="17" x14ac:dyDescent="0.2">
      <c r="A95" s="3" t="s">
        <v>122</v>
      </c>
      <c r="B95" s="3" t="s">
        <v>166</v>
      </c>
      <c r="C95" s="3" t="s">
        <v>311</v>
      </c>
      <c r="D95" s="4"/>
      <c r="E95" s="3" t="s">
        <v>297</v>
      </c>
      <c r="F95" s="3" t="s">
        <v>10</v>
      </c>
      <c r="G95" s="3" t="s">
        <v>297</v>
      </c>
      <c r="H95" s="3" t="s">
        <v>10</v>
      </c>
      <c r="I95" s="3" t="s">
        <v>10</v>
      </c>
      <c r="J95" s="26" t="s">
        <v>396</v>
      </c>
      <c r="K95" s="3" t="s">
        <v>10</v>
      </c>
    </row>
    <row r="96" spans="1:11" ht="17" x14ac:dyDescent="0.2">
      <c r="A96" s="3" t="s">
        <v>123</v>
      </c>
      <c r="B96" s="3" t="s">
        <v>166</v>
      </c>
      <c r="C96" s="3" t="s">
        <v>311</v>
      </c>
      <c r="D96" s="4"/>
      <c r="E96" s="3" t="s">
        <v>296</v>
      </c>
      <c r="F96" s="3" t="s">
        <v>296</v>
      </c>
      <c r="G96" s="3" t="s">
        <v>297</v>
      </c>
      <c r="H96" s="3" t="s">
        <v>10</v>
      </c>
      <c r="I96" s="3" t="s">
        <v>274</v>
      </c>
      <c r="J96" s="26" t="s">
        <v>398</v>
      </c>
      <c r="K96" s="9">
        <v>665.49532949965101</v>
      </c>
    </row>
    <row r="97" spans="1:11" ht="17" x14ac:dyDescent="0.2">
      <c r="A97" s="3" t="s">
        <v>124</v>
      </c>
      <c r="B97" s="3" t="s">
        <v>166</v>
      </c>
      <c r="C97" s="3" t="s">
        <v>311</v>
      </c>
      <c r="D97" s="4"/>
      <c r="E97" s="3" t="s">
        <v>296</v>
      </c>
      <c r="F97" s="3" t="s">
        <v>296</v>
      </c>
      <c r="G97" s="3" t="s">
        <v>297</v>
      </c>
      <c r="H97" s="3" t="s">
        <v>10</v>
      </c>
      <c r="I97" s="3" t="s">
        <v>273</v>
      </c>
      <c r="J97" s="26" t="s">
        <v>392</v>
      </c>
      <c r="K97" s="9">
        <v>178.31876081458199</v>
      </c>
    </row>
    <row r="98" spans="1:11" ht="17" x14ac:dyDescent="0.2">
      <c r="A98" s="3" t="s">
        <v>125</v>
      </c>
      <c r="B98" s="3" t="s">
        <v>166</v>
      </c>
      <c r="C98" s="3" t="s">
        <v>311</v>
      </c>
      <c r="D98" s="4"/>
      <c r="E98" s="3" t="s">
        <v>296</v>
      </c>
      <c r="F98" s="3" t="s">
        <v>297</v>
      </c>
      <c r="G98" s="3" t="s">
        <v>297</v>
      </c>
      <c r="H98" s="3" t="s">
        <v>10</v>
      </c>
      <c r="I98" s="3" t="s">
        <v>10</v>
      </c>
      <c r="J98" s="26" t="s">
        <v>373</v>
      </c>
      <c r="K98" s="3">
        <v>0.94</v>
      </c>
    </row>
    <row r="99" spans="1:11" ht="17" x14ac:dyDescent="0.2">
      <c r="A99" s="3" t="s">
        <v>126</v>
      </c>
      <c r="B99" s="3" t="s">
        <v>166</v>
      </c>
      <c r="C99" s="3" t="s">
        <v>311</v>
      </c>
      <c r="D99" s="4"/>
      <c r="E99" s="3" t="s">
        <v>297</v>
      </c>
      <c r="F99" s="3" t="s">
        <v>10</v>
      </c>
      <c r="G99" s="3" t="s">
        <v>297</v>
      </c>
      <c r="H99" s="3" t="s">
        <v>10</v>
      </c>
      <c r="I99" s="3" t="s">
        <v>10</v>
      </c>
      <c r="J99" s="26" t="s">
        <v>394</v>
      </c>
      <c r="K99" s="3">
        <v>0.03</v>
      </c>
    </row>
    <row r="100" spans="1:11" ht="17" x14ac:dyDescent="0.2">
      <c r="A100" s="3" t="s">
        <v>135</v>
      </c>
      <c r="B100" s="3" t="s">
        <v>166</v>
      </c>
      <c r="C100" s="3" t="s">
        <v>312</v>
      </c>
      <c r="D100" s="5"/>
      <c r="E100" s="3" t="s">
        <v>296</v>
      </c>
      <c r="F100" s="3" t="s">
        <v>297</v>
      </c>
      <c r="G100" s="3" t="s">
        <v>297</v>
      </c>
      <c r="H100" s="3" t="s">
        <v>10</v>
      </c>
      <c r="I100" s="3" t="s">
        <v>10</v>
      </c>
      <c r="J100" s="26" t="s">
        <v>379</v>
      </c>
      <c r="K100" s="3">
        <v>5.01</v>
      </c>
    </row>
    <row r="101" spans="1:11" ht="17" x14ac:dyDescent="0.2">
      <c r="A101" s="3" t="s">
        <v>136</v>
      </c>
      <c r="B101" s="3" t="s">
        <v>166</v>
      </c>
      <c r="C101" s="3" t="s">
        <v>312</v>
      </c>
      <c r="D101" s="5"/>
      <c r="E101" s="3" t="s">
        <v>296</v>
      </c>
      <c r="F101" s="3" t="s">
        <v>296</v>
      </c>
      <c r="G101" s="3" t="s">
        <v>297</v>
      </c>
      <c r="H101" s="3" t="s">
        <v>10</v>
      </c>
      <c r="I101" s="3" t="s">
        <v>279</v>
      </c>
      <c r="J101" s="26" t="s">
        <v>397</v>
      </c>
      <c r="K101" s="9">
        <v>1307.60640365422</v>
      </c>
    </row>
    <row r="102" spans="1:11" ht="17" x14ac:dyDescent="0.2">
      <c r="A102" s="3" t="s">
        <v>137</v>
      </c>
      <c r="B102" s="3" t="s">
        <v>166</v>
      </c>
      <c r="C102" s="3" t="s">
        <v>312</v>
      </c>
      <c r="D102" s="5"/>
      <c r="E102" s="3" t="s">
        <v>297</v>
      </c>
      <c r="F102" s="3" t="s">
        <v>10</v>
      </c>
      <c r="G102" s="3" t="s">
        <v>297</v>
      </c>
      <c r="H102" s="3" t="s">
        <v>10</v>
      </c>
      <c r="I102" s="3" t="s">
        <v>10</v>
      </c>
      <c r="J102" s="26" t="s">
        <v>370</v>
      </c>
      <c r="K102" s="3">
        <v>7.0000000000000007E-2</v>
      </c>
    </row>
    <row r="103" spans="1:11" ht="17" x14ac:dyDescent="0.2">
      <c r="A103" s="3" t="s">
        <v>138</v>
      </c>
      <c r="B103" s="3" t="s">
        <v>166</v>
      </c>
      <c r="C103" s="3" t="s">
        <v>312</v>
      </c>
      <c r="D103" s="5"/>
      <c r="E103" s="3" t="s">
        <v>297</v>
      </c>
      <c r="F103" s="3" t="s">
        <v>10</v>
      </c>
      <c r="G103" s="3" t="s">
        <v>297</v>
      </c>
      <c r="H103" s="3" t="s">
        <v>10</v>
      </c>
      <c r="I103" s="3" t="s">
        <v>10</v>
      </c>
      <c r="J103" s="26" t="s">
        <v>375</v>
      </c>
      <c r="K103" s="3">
        <v>0.08</v>
      </c>
    </row>
    <row r="104" spans="1:11" ht="34" x14ac:dyDescent="0.2">
      <c r="A104" s="3" t="s">
        <v>139</v>
      </c>
      <c r="B104" s="3" t="s">
        <v>166</v>
      </c>
      <c r="C104" s="3" t="s">
        <v>312</v>
      </c>
      <c r="D104" s="5"/>
      <c r="E104" s="3" t="s">
        <v>296</v>
      </c>
      <c r="F104" s="3" t="s">
        <v>296</v>
      </c>
      <c r="G104" s="3" t="s">
        <v>296</v>
      </c>
      <c r="H104" s="3" t="s">
        <v>296</v>
      </c>
      <c r="I104" s="3" t="s">
        <v>280</v>
      </c>
      <c r="J104" s="26" t="s">
        <v>369</v>
      </c>
      <c r="K104" s="9">
        <v>37.684587911423201</v>
      </c>
    </row>
    <row r="105" spans="1:11" ht="17" x14ac:dyDescent="0.2">
      <c r="A105" s="3" t="s">
        <v>140</v>
      </c>
      <c r="B105" s="3" t="s">
        <v>166</v>
      </c>
      <c r="C105" s="3" t="s">
        <v>312</v>
      </c>
      <c r="D105" s="5"/>
      <c r="E105" s="3" t="s">
        <v>296</v>
      </c>
      <c r="F105" s="3" t="s">
        <v>297</v>
      </c>
      <c r="G105" s="3" t="s">
        <v>296</v>
      </c>
      <c r="H105" s="3" t="s">
        <v>297</v>
      </c>
      <c r="I105" s="3" t="s">
        <v>10</v>
      </c>
      <c r="J105" s="26" t="s">
        <v>401</v>
      </c>
      <c r="K105" s="3">
        <v>7.28</v>
      </c>
    </row>
    <row r="106" spans="1:11" ht="17" x14ac:dyDescent="0.2">
      <c r="A106" s="3" t="s">
        <v>141</v>
      </c>
      <c r="B106" s="3" t="s">
        <v>166</v>
      </c>
      <c r="C106" s="3" t="s">
        <v>312</v>
      </c>
      <c r="D106" s="5"/>
      <c r="E106" s="3" t="s">
        <v>296</v>
      </c>
      <c r="F106" s="3" t="s">
        <v>297</v>
      </c>
      <c r="G106" s="3" t="s">
        <v>297</v>
      </c>
      <c r="H106" s="3" t="s">
        <v>10</v>
      </c>
      <c r="I106" s="3" t="s">
        <v>10</v>
      </c>
      <c r="J106" s="26" t="s">
        <v>388</v>
      </c>
      <c r="K106" s="3">
        <v>19.079999999999998</v>
      </c>
    </row>
    <row r="107" spans="1:11" ht="17" x14ac:dyDescent="0.2">
      <c r="A107" s="3" t="s">
        <v>142</v>
      </c>
      <c r="B107" s="3" t="s">
        <v>166</v>
      </c>
      <c r="C107" s="3" t="s">
        <v>312</v>
      </c>
      <c r="D107" s="5"/>
      <c r="E107" s="3" t="s">
        <v>296</v>
      </c>
      <c r="F107" s="3" t="s">
        <v>297</v>
      </c>
      <c r="G107" s="3" t="s">
        <v>297</v>
      </c>
      <c r="H107" s="3" t="s">
        <v>10</v>
      </c>
      <c r="I107" s="3" t="s">
        <v>10</v>
      </c>
      <c r="J107" s="26" t="s">
        <v>400</v>
      </c>
      <c r="K107" s="8">
        <v>5.75</v>
      </c>
    </row>
    <row r="108" spans="1:11" ht="17" x14ac:dyDescent="0.2">
      <c r="A108" s="3" t="s">
        <v>143</v>
      </c>
      <c r="B108" s="3" t="s">
        <v>166</v>
      </c>
      <c r="C108" s="3" t="s">
        <v>312</v>
      </c>
      <c r="D108" s="5"/>
      <c r="E108" s="3" t="s">
        <v>296</v>
      </c>
      <c r="F108" s="3" t="s">
        <v>297</v>
      </c>
      <c r="G108" s="3" t="s">
        <v>296</v>
      </c>
      <c r="H108" s="3" t="s">
        <v>297</v>
      </c>
      <c r="I108" s="3" t="s">
        <v>10</v>
      </c>
      <c r="J108" s="26" t="s">
        <v>402</v>
      </c>
      <c r="K108" s="3">
        <v>5.04</v>
      </c>
    </row>
    <row r="109" spans="1:11" ht="17" x14ac:dyDescent="0.2">
      <c r="A109" s="3" t="s">
        <v>144</v>
      </c>
      <c r="B109" s="3" t="s">
        <v>166</v>
      </c>
      <c r="C109" s="3" t="s">
        <v>312</v>
      </c>
      <c r="D109" s="5"/>
      <c r="E109" s="3" t="s">
        <v>297</v>
      </c>
      <c r="F109" s="3" t="s">
        <v>10</v>
      </c>
      <c r="G109" s="3" t="s">
        <v>297</v>
      </c>
      <c r="H109" s="3" t="s">
        <v>10</v>
      </c>
      <c r="I109" s="3" t="s">
        <v>10</v>
      </c>
      <c r="J109" s="26" t="s">
        <v>385</v>
      </c>
      <c r="K109" s="3">
        <v>0.12</v>
      </c>
    </row>
    <row r="110" spans="1:11" ht="17" x14ac:dyDescent="0.2">
      <c r="A110" s="3" t="s">
        <v>145</v>
      </c>
      <c r="B110" s="3" t="s">
        <v>166</v>
      </c>
      <c r="C110" s="3" t="s">
        <v>312</v>
      </c>
      <c r="D110" s="5"/>
      <c r="E110" s="3" t="s">
        <v>297</v>
      </c>
      <c r="F110" s="3" t="s">
        <v>10</v>
      </c>
      <c r="G110" s="3" t="s">
        <v>297</v>
      </c>
      <c r="H110" s="3" t="s">
        <v>10</v>
      </c>
      <c r="I110" s="3" t="s">
        <v>10</v>
      </c>
      <c r="J110" s="26" t="s">
        <v>384</v>
      </c>
      <c r="K110" s="3" t="s">
        <v>10</v>
      </c>
    </row>
    <row r="111" spans="1:11" ht="17" x14ac:dyDescent="0.2">
      <c r="A111" s="3" t="s">
        <v>146</v>
      </c>
      <c r="B111" s="3" t="s">
        <v>166</v>
      </c>
      <c r="C111" s="3" t="s">
        <v>312</v>
      </c>
      <c r="D111" s="5"/>
      <c r="E111" s="3" t="s">
        <v>296</v>
      </c>
      <c r="F111" s="3" t="s">
        <v>296</v>
      </c>
      <c r="G111" s="3" t="s">
        <v>297</v>
      </c>
      <c r="H111" s="3" t="s">
        <v>10</v>
      </c>
      <c r="I111" s="3" t="s">
        <v>277</v>
      </c>
      <c r="J111" s="26" t="s">
        <v>383</v>
      </c>
      <c r="K111" s="9">
        <v>2310.6523437486198</v>
      </c>
    </row>
    <row r="112" spans="1:11" ht="17" x14ac:dyDescent="0.2">
      <c r="A112" s="3" t="s">
        <v>147</v>
      </c>
      <c r="B112" s="3" t="s">
        <v>166</v>
      </c>
      <c r="C112" s="3" t="s">
        <v>312</v>
      </c>
      <c r="D112" s="5"/>
      <c r="E112" s="3" t="s">
        <v>296</v>
      </c>
      <c r="F112" s="3" t="s">
        <v>296</v>
      </c>
      <c r="G112" s="3" t="s">
        <v>297</v>
      </c>
      <c r="H112" s="3" t="s">
        <v>297</v>
      </c>
      <c r="I112" s="3" t="s">
        <v>278</v>
      </c>
      <c r="J112" s="26" t="s">
        <v>380</v>
      </c>
      <c r="K112" s="9">
        <v>1969.55149853632</v>
      </c>
    </row>
    <row r="113" spans="1:11" ht="17" x14ac:dyDescent="0.2">
      <c r="A113" s="3" t="s">
        <v>161</v>
      </c>
      <c r="B113" s="3" t="s">
        <v>166</v>
      </c>
      <c r="C113" s="3" t="s">
        <v>482</v>
      </c>
      <c r="D113" s="5"/>
      <c r="E113" s="3" t="s">
        <v>296</v>
      </c>
      <c r="F113" s="3" t="s">
        <v>297</v>
      </c>
      <c r="G113" s="3" t="s">
        <v>296</v>
      </c>
      <c r="H113" s="3" t="s">
        <v>297</v>
      </c>
      <c r="I113" s="3" t="s">
        <v>10</v>
      </c>
      <c r="J113" s="26" t="s">
        <v>471</v>
      </c>
      <c r="K113" s="8">
        <v>0.8</v>
      </c>
    </row>
    <row r="114" spans="1:11" ht="17" x14ac:dyDescent="0.2">
      <c r="A114" s="3" t="s">
        <v>162</v>
      </c>
      <c r="B114" s="3" t="s">
        <v>166</v>
      </c>
      <c r="C114" s="3" t="s">
        <v>481</v>
      </c>
      <c r="D114" s="5"/>
      <c r="E114" s="3" t="s">
        <v>296</v>
      </c>
      <c r="F114" s="3" t="s">
        <v>296</v>
      </c>
      <c r="G114" s="3" t="s">
        <v>297</v>
      </c>
      <c r="H114" s="3" t="s">
        <v>10</v>
      </c>
      <c r="I114" s="3" t="s">
        <v>195</v>
      </c>
      <c r="J114" s="26" t="s">
        <v>407</v>
      </c>
      <c r="K114" s="9">
        <v>230.64079147299</v>
      </c>
    </row>
    <row r="115" spans="1:11" ht="17" x14ac:dyDescent="0.2">
      <c r="A115" s="3" t="s">
        <v>163</v>
      </c>
      <c r="B115" s="3" t="s">
        <v>166</v>
      </c>
      <c r="C115" s="3" t="s">
        <v>481</v>
      </c>
      <c r="D115" s="5"/>
      <c r="E115" s="3" t="s">
        <v>297</v>
      </c>
      <c r="F115" s="3" t="s">
        <v>10</v>
      </c>
      <c r="G115" s="3" t="s">
        <v>297</v>
      </c>
      <c r="H115" s="3" t="s">
        <v>10</v>
      </c>
      <c r="I115" s="3" t="s">
        <v>10</v>
      </c>
      <c r="J115" s="26" t="s">
        <v>413</v>
      </c>
      <c r="K115" s="3">
        <v>0.14000000000000001</v>
      </c>
    </row>
    <row r="116" spans="1:11" ht="34" x14ac:dyDescent="0.2">
      <c r="A116" s="2" t="s">
        <v>95</v>
      </c>
      <c r="B116" s="2" t="s">
        <v>167</v>
      </c>
      <c r="C116" s="2" t="s">
        <v>309</v>
      </c>
      <c r="D116" s="4"/>
      <c r="E116" s="3" t="s">
        <v>296</v>
      </c>
      <c r="F116" s="3" t="s">
        <v>297</v>
      </c>
      <c r="G116" s="3" t="s">
        <v>296</v>
      </c>
      <c r="H116" s="3" t="s">
        <v>296</v>
      </c>
      <c r="I116" s="3" t="s">
        <v>256</v>
      </c>
      <c r="J116" s="26" t="s">
        <v>454</v>
      </c>
      <c r="K116" s="9">
        <v>5489.9599773139398</v>
      </c>
    </row>
    <row r="117" spans="1:11" ht="17" x14ac:dyDescent="0.2">
      <c r="A117" s="2" t="s">
        <v>96</v>
      </c>
      <c r="B117" s="2" t="s">
        <v>167</v>
      </c>
      <c r="C117" s="2" t="s">
        <v>309</v>
      </c>
      <c r="D117" s="4"/>
      <c r="E117" s="3" t="s">
        <v>296</v>
      </c>
      <c r="F117" s="3" t="s">
        <v>297</v>
      </c>
      <c r="G117" s="3" t="s">
        <v>296</v>
      </c>
      <c r="H117" s="3" t="s">
        <v>296</v>
      </c>
      <c r="I117" s="3" t="s">
        <v>257</v>
      </c>
      <c r="J117" s="26" t="s">
        <v>450</v>
      </c>
      <c r="K117" s="9">
        <v>32.701054108811697</v>
      </c>
    </row>
    <row r="118" spans="1:11" ht="17" x14ac:dyDescent="0.2">
      <c r="A118" s="2" t="s">
        <v>97</v>
      </c>
      <c r="B118" s="2" t="s">
        <v>167</v>
      </c>
      <c r="C118" s="2" t="s">
        <v>309</v>
      </c>
      <c r="D118" s="4"/>
      <c r="E118" s="3" t="s">
        <v>296</v>
      </c>
      <c r="F118" s="3" t="s">
        <v>296</v>
      </c>
      <c r="G118" s="3" t="s">
        <v>296</v>
      </c>
      <c r="H118" s="3" t="s">
        <v>296</v>
      </c>
      <c r="I118" s="3" t="s">
        <v>258</v>
      </c>
      <c r="J118" s="26" t="s">
        <v>459</v>
      </c>
      <c r="K118" s="9">
        <v>15162.5860837279</v>
      </c>
    </row>
    <row r="119" spans="1:11" ht="17" x14ac:dyDescent="0.2">
      <c r="A119" s="2" t="s">
        <v>98</v>
      </c>
      <c r="B119" s="2" t="s">
        <v>167</v>
      </c>
      <c r="C119" s="2" t="s">
        <v>309</v>
      </c>
      <c r="D119" s="4"/>
      <c r="E119" s="3" t="s">
        <v>296</v>
      </c>
      <c r="F119" s="3" t="s">
        <v>297</v>
      </c>
      <c r="G119" s="3" t="s">
        <v>297</v>
      </c>
      <c r="H119" s="3" t="s">
        <v>297</v>
      </c>
      <c r="I119" s="3" t="s">
        <v>259</v>
      </c>
      <c r="J119" s="26" t="s">
        <v>468</v>
      </c>
      <c r="K119" s="9">
        <v>201.35306637108599</v>
      </c>
    </row>
    <row r="120" spans="1:11" ht="17" x14ac:dyDescent="0.2">
      <c r="A120" s="2" t="s">
        <v>99</v>
      </c>
      <c r="B120" s="2" t="s">
        <v>167</v>
      </c>
      <c r="C120" s="2" t="s">
        <v>309</v>
      </c>
      <c r="D120" s="4"/>
      <c r="E120" s="3" t="s">
        <v>296</v>
      </c>
      <c r="F120" s="3" t="s">
        <v>296</v>
      </c>
      <c r="G120" s="3" t="s">
        <v>296</v>
      </c>
      <c r="H120" s="3" t="s">
        <v>296</v>
      </c>
      <c r="I120" s="3" t="s">
        <v>260</v>
      </c>
      <c r="J120" s="26" t="s">
        <v>462</v>
      </c>
      <c r="K120" s="9">
        <v>24442.9702358836</v>
      </c>
    </row>
    <row r="121" spans="1:11" ht="17" x14ac:dyDescent="0.2">
      <c r="A121" s="2" t="s">
        <v>100</v>
      </c>
      <c r="B121" s="2" t="s">
        <v>167</v>
      </c>
      <c r="C121" s="2" t="s">
        <v>309</v>
      </c>
      <c r="D121" s="4"/>
      <c r="E121" s="3" t="s">
        <v>296</v>
      </c>
      <c r="F121" s="3" t="s">
        <v>297</v>
      </c>
      <c r="G121" s="3" t="s">
        <v>297</v>
      </c>
      <c r="H121" s="3" t="s">
        <v>10</v>
      </c>
      <c r="I121" s="3" t="s">
        <v>266</v>
      </c>
      <c r="J121" s="26" t="s">
        <v>466</v>
      </c>
      <c r="K121" s="9">
        <v>4548.3932753054796</v>
      </c>
    </row>
    <row r="122" spans="1:11" ht="17" x14ac:dyDescent="0.2">
      <c r="A122" s="2" t="s">
        <v>101</v>
      </c>
      <c r="B122" s="2" t="s">
        <v>167</v>
      </c>
      <c r="C122" s="2" t="s">
        <v>309</v>
      </c>
      <c r="D122" s="4"/>
      <c r="E122" s="3" t="s">
        <v>296</v>
      </c>
      <c r="F122" s="3" t="s">
        <v>296</v>
      </c>
      <c r="G122" s="3" t="s">
        <v>296</v>
      </c>
      <c r="H122" s="3" t="s">
        <v>296</v>
      </c>
      <c r="I122" s="3" t="s">
        <v>267</v>
      </c>
      <c r="J122" s="26" t="s">
        <v>465</v>
      </c>
      <c r="K122" s="9">
        <v>12009.5903917662</v>
      </c>
    </row>
    <row r="123" spans="1:11" ht="17" x14ac:dyDescent="0.2">
      <c r="A123" s="2" t="s">
        <v>102</v>
      </c>
      <c r="B123" s="2" t="s">
        <v>167</v>
      </c>
      <c r="C123" s="2" t="s">
        <v>309</v>
      </c>
      <c r="D123" s="4"/>
      <c r="E123" s="3" t="s">
        <v>296</v>
      </c>
      <c r="F123" s="3" t="s">
        <v>297</v>
      </c>
      <c r="G123" s="3" t="s">
        <v>297</v>
      </c>
      <c r="H123" s="3" t="s">
        <v>297</v>
      </c>
      <c r="I123" s="3" t="s">
        <v>10</v>
      </c>
      <c r="J123" s="26" t="s">
        <v>461</v>
      </c>
      <c r="K123" s="3">
        <v>3.09</v>
      </c>
    </row>
    <row r="124" spans="1:11" ht="17" x14ac:dyDescent="0.2">
      <c r="A124" s="2" t="s">
        <v>103</v>
      </c>
      <c r="B124" s="2" t="s">
        <v>167</v>
      </c>
      <c r="C124" s="2" t="s">
        <v>309</v>
      </c>
      <c r="D124" s="4"/>
      <c r="E124" s="3" t="s">
        <v>296</v>
      </c>
      <c r="F124" s="3" t="s">
        <v>296</v>
      </c>
      <c r="G124" s="3" t="s">
        <v>297</v>
      </c>
      <c r="H124" s="3" t="s">
        <v>10</v>
      </c>
      <c r="I124" s="3" t="s">
        <v>268</v>
      </c>
      <c r="J124" s="26" t="s">
        <v>464</v>
      </c>
      <c r="K124" s="9">
        <v>3291.81390900714</v>
      </c>
    </row>
    <row r="125" spans="1:11" ht="17" x14ac:dyDescent="0.2">
      <c r="A125" s="2" t="s">
        <v>104</v>
      </c>
      <c r="B125" s="2" t="s">
        <v>167</v>
      </c>
      <c r="C125" s="2" t="s">
        <v>309</v>
      </c>
      <c r="D125" s="4"/>
      <c r="E125" s="3" t="s">
        <v>296</v>
      </c>
      <c r="F125" s="3" t="s">
        <v>296</v>
      </c>
      <c r="G125" s="3" t="s">
        <v>297</v>
      </c>
      <c r="H125" s="3" t="s">
        <v>297</v>
      </c>
      <c r="I125" s="3" t="s">
        <v>269</v>
      </c>
      <c r="J125" s="26" t="s">
        <v>457</v>
      </c>
      <c r="K125" s="9">
        <v>3262.9207603790501</v>
      </c>
    </row>
    <row r="126" spans="1:11" ht="17" x14ac:dyDescent="0.2">
      <c r="A126" s="2" t="s">
        <v>105</v>
      </c>
      <c r="B126" s="2" t="s">
        <v>167</v>
      </c>
      <c r="C126" s="2" t="s">
        <v>309</v>
      </c>
      <c r="D126" s="4"/>
      <c r="E126" s="3" t="s">
        <v>296</v>
      </c>
      <c r="F126" s="3" t="s">
        <v>296</v>
      </c>
      <c r="G126" s="3" t="s">
        <v>297</v>
      </c>
      <c r="H126" s="3" t="s">
        <v>10</v>
      </c>
      <c r="I126" s="3" t="s">
        <v>270</v>
      </c>
      <c r="J126" s="26" t="s">
        <v>460</v>
      </c>
      <c r="K126" s="9">
        <v>1268.5737859707799</v>
      </c>
    </row>
    <row r="127" spans="1:11" ht="17" x14ac:dyDescent="0.2">
      <c r="A127" s="2" t="s">
        <v>106</v>
      </c>
      <c r="B127" s="2" t="s">
        <v>167</v>
      </c>
      <c r="C127" s="2" t="s">
        <v>309</v>
      </c>
      <c r="D127" s="4"/>
      <c r="E127" s="3" t="s">
        <v>296</v>
      </c>
      <c r="F127" s="3" t="s">
        <v>296</v>
      </c>
      <c r="G127" s="3" t="s">
        <v>297</v>
      </c>
      <c r="H127" s="3" t="s">
        <v>10</v>
      </c>
      <c r="I127" s="3" t="s">
        <v>271</v>
      </c>
      <c r="J127" s="26" t="s">
        <v>463</v>
      </c>
      <c r="K127" s="9">
        <v>8923.7686794013407</v>
      </c>
    </row>
    <row r="128" spans="1:11" ht="34" x14ac:dyDescent="0.2">
      <c r="A128" s="2" t="s">
        <v>107</v>
      </c>
      <c r="B128" s="2" t="s">
        <v>167</v>
      </c>
      <c r="C128" s="2" t="s">
        <v>309</v>
      </c>
      <c r="D128" s="4"/>
      <c r="E128" s="3" t="s">
        <v>296</v>
      </c>
      <c r="F128" s="3" t="s">
        <v>296</v>
      </c>
      <c r="G128" s="3" t="s">
        <v>296</v>
      </c>
      <c r="H128" s="3" t="s">
        <v>296</v>
      </c>
      <c r="I128" s="3" t="s">
        <v>261</v>
      </c>
      <c r="J128" s="26" t="s">
        <v>458</v>
      </c>
      <c r="K128" s="9">
        <v>11838.717548742999</v>
      </c>
    </row>
    <row r="129" spans="1:11" ht="17" x14ac:dyDescent="0.2">
      <c r="A129" s="2" t="s">
        <v>108</v>
      </c>
      <c r="B129" s="2" t="s">
        <v>167</v>
      </c>
      <c r="C129" s="2" t="s">
        <v>309</v>
      </c>
      <c r="D129" s="4"/>
      <c r="E129" s="3" t="s">
        <v>296</v>
      </c>
      <c r="F129" s="3" t="s">
        <v>296</v>
      </c>
      <c r="G129" s="3" t="s">
        <v>297</v>
      </c>
      <c r="H129" s="3" t="s">
        <v>297</v>
      </c>
      <c r="I129" s="3" t="s">
        <v>272</v>
      </c>
      <c r="J129" s="26" t="s">
        <v>467</v>
      </c>
      <c r="K129" s="9">
        <v>2589.5305911749801</v>
      </c>
    </row>
    <row r="130" spans="1:11" ht="17" x14ac:dyDescent="0.2">
      <c r="A130" s="2" t="s">
        <v>109</v>
      </c>
      <c r="B130" s="2" t="s">
        <v>167</v>
      </c>
      <c r="C130" s="2" t="s">
        <v>309</v>
      </c>
      <c r="D130" s="2" t="s">
        <v>172</v>
      </c>
      <c r="E130" s="3" t="s">
        <v>296</v>
      </c>
      <c r="F130" s="3" t="s">
        <v>296</v>
      </c>
      <c r="G130" s="3" t="s">
        <v>296</v>
      </c>
      <c r="H130" s="3" t="s">
        <v>296</v>
      </c>
      <c r="I130" s="3" t="s">
        <v>293</v>
      </c>
      <c r="J130" s="26" t="s">
        <v>320</v>
      </c>
      <c r="K130" s="9">
        <v>702.88536846407999</v>
      </c>
    </row>
    <row r="131" spans="1:11" ht="17" x14ac:dyDescent="0.2">
      <c r="A131" s="2" t="s">
        <v>110</v>
      </c>
      <c r="B131" s="2" t="s">
        <v>167</v>
      </c>
      <c r="C131" s="2" t="s">
        <v>309</v>
      </c>
      <c r="D131" s="5"/>
      <c r="E131" s="3" t="s">
        <v>296</v>
      </c>
      <c r="F131" s="3" t="s">
        <v>296</v>
      </c>
      <c r="G131" s="3" t="s">
        <v>297</v>
      </c>
      <c r="H131" s="3" t="s">
        <v>10</v>
      </c>
      <c r="I131" s="3" t="s">
        <v>262</v>
      </c>
      <c r="J131" s="26" t="s">
        <v>344</v>
      </c>
      <c r="K131" s="9">
        <v>880.70723972266205</v>
      </c>
    </row>
    <row r="132" spans="1:11" ht="17" x14ac:dyDescent="0.2">
      <c r="A132" s="2" t="s">
        <v>111</v>
      </c>
      <c r="B132" s="2" t="s">
        <v>167</v>
      </c>
      <c r="C132" s="2" t="s">
        <v>309</v>
      </c>
      <c r="D132" s="5"/>
      <c r="E132" s="3" t="s">
        <v>296</v>
      </c>
      <c r="F132" s="3" t="s">
        <v>296</v>
      </c>
      <c r="G132" s="3" t="s">
        <v>297</v>
      </c>
      <c r="H132" s="3" t="s">
        <v>10</v>
      </c>
      <c r="I132" s="3" t="s">
        <v>263</v>
      </c>
      <c r="J132" s="26" t="s">
        <v>340</v>
      </c>
      <c r="K132" s="9">
        <v>5739.6455617541296</v>
      </c>
    </row>
    <row r="133" spans="1:11" ht="34" x14ac:dyDescent="0.2">
      <c r="A133" s="2" t="s">
        <v>112</v>
      </c>
      <c r="B133" s="2" t="s">
        <v>167</v>
      </c>
      <c r="C133" s="2" t="s">
        <v>309</v>
      </c>
      <c r="D133" s="5"/>
      <c r="E133" s="3" t="s">
        <v>296</v>
      </c>
      <c r="F133" s="3" t="s">
        <v>296</v>
      </c>
      <c r="G133" s="3" t="s">
        <v>296</v>
      </c>
      <c r="H133" s="3" t="s">
        <v>296</v>
      </c>
      <c r="I133" s="3" t="s">
        <v>264</v>
      </c>
      <c r="J133" s="26" t="s">
        <v>360</v>
      </c>
      <c r="K133" s="9">
        <v>3128.5098569278998</v>
      </c>
    </row>
    <row r="134" spans="1:11" ht="34" x14ac:dyDescent="0.2">
      <c r="A134" s="2" t="s">
        <v>113</v>
      </c>
      <c r="B134" s="2" t="s">
        <v>167</v>
      </c>
      <c r="C134" s="2" t="s">
        <v>309</v>
      </c>
      <c r="D134" s="5"/>
      <c r="E134" s="3" t="s">
        <v>296</v>
      </c>
      <c r="F134" s="3" t="s">
        <v>297</v>
      </c>
      <c r="G134" s="3" t="s">
        <v>296</v>
      </c>
      <c r="H134" s="3" t="s">
        <v>296</v>
      </c>
      <c r="I134" s="3" t="s">
        <v>265</v>
      </c>
      <c r="J134" s="26" t="s">
        <v>343</v>
      </c>
      <c r="K134" s="9">
        <v>31.7197817189418</v>
      </c>
    </row>
    <row r="135" spans="1:11" ht="17" x14ac:dyDescent="0.2">
      <c r="A135" s="2" t="s">
        <v>114</v>
      </c>
      <c r="B135" s="2" t="s">
        <v>167</v>
      </c>
      <c r="C135" s="2" t="s">
        <v>309</v>
      </c>
      <c r="D135" s="5"/>
      <c r="E135" s="3" t="s">
        <v>296</v>
      </c>
      <c r="F135" s="3" t="s">
        <v>297</v>
      </c>
      <c r="G135" s="3" t="s">
        <v>297</v>
      </c>
      <c r="H135" s="3" t="s">
        <v>10</v>
      </c>
      <c r="I135" s="3" t="s">
        <v>10</v>
      </c>
      <c r="J135" s="26" t="s">
        <v>345</v>
      </c>
      <c r="K135" s="3">
        <v>1.5</v>
      </c>
    </row>
    <row r="136" spans="1:11" ht="17" x14ac:dyDescent="0.2">
      <c r="A136" s="2" t="s">
        <v>127</v>
      </c>
      <c r="B136" s="2" t="s">
        <v>168</v>
      </c>
      <c r="C136" s="2" t="s">
        <v>314</v>
      </c>
      <c r="D136" s="2" t="s">
        <v>172</v>
      </c>
      <c r="E136" s="3" t="s">
        <v>297</v>
      </c>
      <c r="F136" s="3" t="s">
        <v>10</v>
      </c>
      <c r="G136" s="3" t="s">
        <v>297</v>
      </c>
      <c r="H136" s="3" t="s">
        <v>10</v>
      </c>
      <c r="I136" s="3" t="s">
        <v>10</v>
      </c>
      <c r="J136" s="26" t="s">
        <v>374</v>
      </c>
      <c r="K136" s="3" t="s">
        <v>10</v>
      </c>
    </row>
    <row r="137" spans="1:11" ht="17" x14ac:dyDescent="0.2">
      <c r="A137" s="2" t="s">
        <v>128</v>
      </c>
      <c r="B137" s="2" t="s">
        <v>168</v>
      </c>
      <c r="C137" s="2" t="s">
        <v>314</v>
      </c>
      <c r="D137" s="2" t="s">
        <v>172</v>
      </c>
      <c r="E137" s="3" t="s">
        <v>297</v>
      </c>
      <c r="F137" s="3" t="s">
        <v>10</v>
      </c>
      <c r="G137" s="3" t="s">
        <v>297</v>
      </c>
      <c r="H137" s="3" t="s">
        <v>10</v>
      </c>
      <c r="I137" s="3" t="s">
        <v>10</v>
      </c>
      <c r="J137" s="26" t="s">
        <v>376</v>
      </c>
      <c r="K137" s="3" t="s">
        <v>10</v>
      </c>
    </row>
    <row r="138" spans="1:11" ht="17" x14ac:dyDescent="0.2">
      <c r="A138" s="2" t="s">
        <v>129</v>
      </c>
      <c r="B138" s="2" t="s">
        <v>168</v>
      </c>
      <c r="C138" s="2" t="s">
        <v>314</v>
      </c>
      <c r="D138" s="2"/>
      <c r="E138" s="3" t="s">
        <v>296</v>
      </c>
      <c r="F138" s="3" t="s">
        <v>296</v>
      </c>
      <c r="G138" s="3" t="s">
        <v>296</v>
      </c>
      <c r="H138" s="3" t="s">
        <v>296</v>
      </c>
      <c r="I138" s="3" t="s">
        <v>276</v>
      </c>
      <c r="J138" s="26" t="s">
        <v>368</v>
      </c>
      <c r="K138" s="9">
        <v>11008.1344328543</v>
      </c>
    </row>
    <row r="139" spans="1:11" ht="17" x14ac:dyDescent="0.2">
      <c r="A139" s="2" t="s">
        <v>130</v>
      </c>
      <c r="B139" s="2" t="s">
        <v>168</v>
      </c>
      <c r="C139" s="2" t="s">
        <v>314</v>
      </c>
      <c r="D139" s="2" t="s">
        <v>172</v>
      </c>
      <c r="E139" s="3" t="s">
        <v>297</v>
      </c>
      <c r="F139" s="3" t="s">
        <v>10</v>
      </c>
      <c r="G139" s="3" t="s">
        <v>297</v>
      </c>
      <c r="H139" s="3" t="s">
        <v>10</v>
      </c>
      <c r="I139" s="3" t="s">
        <v>10</v>
      </c>
      <c r="J139" s="26" t="s">
        <v>371</v>
      </c>
      <c r="K139" s="3">
        <v>0.19</v>
      </c>
    </row>
    <row r="140" spans="1:11" ht="17" x14ac:dyDescent="0.2">
      <c r="A140" s="2" t="s">
        <v>131</v>
      </c>
      <c r="B140" s="2" t="s">
        <v>168</v>
      </c>
      <c r="C140" s="2" t="s">
        <v>314</v>
      </c>
      <c r="D140" s="2"/>
      <c r="E140" s="3" t="s">
        <v>297</v>
      </c>
      <c r="F140" s="3" t="s">
        <v>10</v>
      </c>
      <c r="G140" s="3" t="s">
        <v>297</v>
      </c>
      <c r="H140" s="3" t="s">
        <v>10</v>
      </c>
      <c r="I140" s="3" t="s">
        <v>10</v>
      </c>
      <c r="J140" s="26" t="s">
        <v>377</v>
      </c>
      <c r="K140" s="3">
        <v>0.09</v>
      </c>
    </row>
    <row r="141" spans="1:11" ht="17" x14ac:dyDescent="0.2">
      <c r="A141" s="2" t="s">
        <v>132</v>
      </c>
      <c r="B141" s="2" t="s">
        <v>168</v>
      </c>
      <c r="C141" s="2" t="s">
        <v>314</v>
      </c>
      <c r="D141" s="2" t="s">
        <v>172</v>
      </c>
      <c r="E141" s="3" t="s">
        <v>297</v>
      </c>
      <c r="F141" s="3" t="s">
        <v>10</v>
      </c>
      <c r="G141" s="3" t="s">
        <v>297</v>
      </c>
      <c r="H141" s="3" t="s">
        <v>10</v>
      </c>
      <c r="I141" s="3" t="s">
        <v>10</v>
      </c>
      <c r="J141" s="26" t="s">
        <v>393</v>
      </c>
      <c r="K141" s="3" t="s">
        <v>10</v>
      </c>
    </row>
    <row r="142" spans="1:11" ht="17" x14ac:dyDescent="0.2">
      <c r="A142" s="2" t="s">
        <v>133</v>
      </c>
      <c r="B142" s="2" t="s">
        <v>168</v>
      </c>
      <c r="C142" s="2" t="s">
        <v>314</v>
      </c>
      <c r="D142" s="2" t="s">
        <v>172</v>
      </c>
      <c r="E142" s="3" t="s">
        <v>297</v>
      </c>
      <c r="F142" s="3" t="s">
        <v>10</v>
      </c>
      <c r="G142" s="3" t="s">
        <v>297</v>
      </c>
      <c r="H142" s="3" t="s">
        <v>10</v>
      </c>
      <c r="I142" s="3" t="s">
        <v>10</v>
      </c>
      <c r="J142" s="26" t="s">
        <v>378</v>
      </c>
      <c r="K142" s="3" t="s">
        <v>10</v>
      </c>
    </row>
    <row r="143" spans="1:11" ht="17" x14ac:dyDescent="0.2">
      <c r="A143" s="2" t="s">
        <v>134</v>
      </c>
      <c r="B143" s="2" t="s">
        <v>168</v>
      </c>
      <c r="C143" s="2" t="s">
        <v>314</v>
      </c>
      <c r="D143" s="2" t="s">
        <v>172</v>
      </c>
      <c r="E143" s="3" t="s">
        <v>297</v>
      </c>
      <c r="F143" s="3" t="s">
        <v>10</v>
      </c>
      <c r="G143" s="3" t="s">
        <v>297</v>
      </c>
      <c r="H143" s="3" t="s">
        <v>10</v>
      </c>
      <c r="I143" s="3" t="s">
        <v>10</v>
      </c>
      <c r="J143" s="26" t="s">
        <v>372</v>
      </c>
      <c r="K143" s="3">
        <v>0.05</v>
      </c>
    </row>
    <row r="144" spans="1:11" ht="17" x14ac:dyDescent="0.2">
      <c r="A144" s="2" t="s">
        <v>148</v>
      </c>
      <c r="B144" s="2" t="s">
        <v>169</v>
      </c>
      <c r="C144" s="2" t="s">
        <v>313</v>
      </c>
      <c r="D144" s="5"/>
      <c r="E144" s="3" t="s">
        <v>296</v>
      </c>
      <c r="F144" s="3" t="s">
        <v>297</v>
      </c>
      <c r="G144" s="3" t="s">
        <v>296</v>
      </c>
      <c r="H144" s="3" t="s">
        <v>296</v>
      </c>
      <c r="I144" s="3" t="s">
        <v>281</v>
      </c>
      <c r="J144" s="26" t="s">
        <v>390</v>
      </c>
      <c r="K144" s="9">
        <v>47.402377853458802</v>
      </c>
    </row>
    <row r="145" spans="1:11" ht="17" x14ac:dyDescent="0.2">
      <c r="A145" s="2" t="s">
        <v>149</v>
      </c>
      <c r="B145" s="2" t="s">
        <v>169</v>
      </c>
      <c r="C145" s="2" t="s">
        <v>313</v>
      </c>
      <c r="D145" s="5"/>
      <c r="E145" s="3" t="s">
        <v>296</v>
      </c>
      <c r="F145" s="3" t="s">
        <v>296</v>
      </c>
      <c r="G145" s="3" t="s">
        <v>296</v>
      </c>
      <c r="H145" s="3" t="s">
        <v>296</v>
      </c>
      <c r="I145" s="3" t="s">
        <v>286</v>
      </c>
      <c r="J145" s="26" t="s">
        <v>386</v>
      </c>
      <c r="K145" s="9">
        <v>475.17022869324802</v>
      </c>
    </row>
    <row r="146" spans="1:11" ht="34" x14ac:dyDescent="0.2">
      <c r="A146" s="2" t="s">
        <v>150</v>
      </c>
      <c r="B146" s="2" t="s">
        <v>169</v>
      </c>
      <c r="C146" s="2" t="s">
        <v>313</v>
      </c>
      <c r="D146" s="5"/>
      <c r="E146" s="3" t="s">
        <v>296</v>
      </c>
      <c r="F146" s="3" t="s">
        <v>296</v>
      </c>
      <c r="G146" s="3" t="s">
        <v>296</v>
      </c>
      <c r="H146" s="3" t="s">
        <v>296</v>
      </c>
      <c r="I146" s="3" t="s">
        <v>282</v>
      </c>
      <c r="J146" s="26" t="s">
        <v>381</v>
      </c>
      <c r="K146" s="9">
        <v>52603.442555039597</v>
      </c>
    </row>
    <row r="147" spans="1:11" ht="17" x14ac:dyDescent="0.2">
      <c r="A147" s="2" t="s">
        <v>151</v>
      </c>
      <c r="B147" s="2" t="s">
        <v>169</v>
      </c>
      <c r="C147" s="2" t="s">
        <v>313</v>
      </c>
      <c r="D147" s="5"/>
      <c r="E147" s="3" t="s">
        <v>296</v>
      </c>
      <c r="F147" s="3" t="s">
        <v>296</v>
      </c>
      <c r="G147" s="3" t="s">
        <v>296</v>
      </c>
      <c r="H147" s="3" t="s">
        <v>296</v>
      </c>
      <c r="I147" s="3" t="s">
        <v>283</v>
      </c>
      <c r="J147" s="26" t="s">
        <v>382</v>
      </c>
      <c r="K147" s="9">
        <v>10590.693483351901</v>
      </c>
    </row>
    <row r="148" spans="1:11" ht="34" x14ac:dyDescent="0.2">
      <c r="A148" s="2" t="s">
        <v>152</v>
      </c>
      <c r="B148" s="2" t="s">
        <v>169</v>
      </c>
      <c r="C148" s="2" t="s">
        <v>313</v>
      </c>
      <c r="D148" s="5"/>
      <c r="E148" s="3" t="s">
        <v>296</v>
      </c>
      <c r="F148" s="3" t="s">
        <v>296</v>
      </c>
      <c r="G148" s="3" t="s">
        <v>296</v>
      </c>
      <c r="H148" s="3" t="s">
        <v>296</v>
      </c>
      <c r="I148" s="3" t="s">
        <v>284</v>
      </c>
      <c r="J148" s="26" t="s">
        <v>387</v>
      </c>
      <c r="K148" s="9">
        <v>2301.1650942044498</v>
      </c>
    </row>
    <row r="149" spans="1:11" ht="17" x14ac:dyDescent="0.2">
      <c r="A149" s="2" t="s">
        <v>153</v>
      </c>
      <c r="B149" s="2" t="s">
        <v>169</v>
      </c>
      <c r="C149" s="2" t="s">
        <v>313</v>
      </c>
      <c r="D149" s="5"/>
      <c r="E149" s="3" t="s">
        <v>296</v>
      </c>
      <c r="F149" s="3" t="s">
        <v>297</v>
      </c>
      <c r="G149" s="3" t="s">
        <v>296</v>
      </c>
      <c r="H149" s="3" t="s">
        <v>296</v>
      </c>
      <c r="I149" s="3" t="s">
        <v>193</v>
      </c>
      <c r="J149" s="26" t="s">
        <v>399</v>
      </c>
      <c r="K149" s="9">
        <v>1390.98967905633</v>
      </c>
    </row>
    <row r="150" spans="1:11" ht="17" x14ac:dyDescent="0.2">
      <c r="A150" s="2" t="s">
        <v>154</v>
      </c>
      <c r="B150" s="2" t="s">
        <v>169</v>
      </c>
      <c r="C150" s="2" t="s">
        <v>313</v>
      </c>
      <c r="D150" s="5"/>
      <c r="E150" s="3" t="s">
        <v>296</v>
      </c>
      <c r="F150" s="3" t="s">
        <v>297</v>
      </c>
      <c r="G150" s="3" t="s">
        <v>296</v>
      </c>
      <c r="H150" s="3" t="s">
        <v>296</v>
      </c>
      <c r="I150" s="3" t="s">
        <v>285</v>
      </c>
      <c r="J150" s="26" t="s">
        <v>389</v>
      </c>
      <c r="K150" s="10">
        <v>42513.588542116398</v>
      </c>
    </row>
    <row r="151" spans="1:11" ht="17" x14ac:dyDescent="0.2">
      <c r="A151" s="2" t="s">
        <v>155</v>
      </c>
      <c r="B151" s="2" t="s">
        <v>169</v>
      </c>
      <c r="C151" s="2" t="s">
        <v>313</v>
      </c>
      <c r="D151" s="5"/>
      <c r="E151" s="3" t="s">
        <v>296</v>
      </c>
      <c r="F151" s="3" t="s">
        <v>296</v>
      </c>
      <c r="G151" s="3" t="s">
        <v>296</v>
      </c>
      <c r="H151" s="3" t="s">
        <v>296</v>
      </c>
      <c r="I151" s="3" t="s">
        <v>289</v>
      </c>
      <c r="J151" s="26" t="s">
        <v>409</v>
      </c>
      <c r="K151" s="9">
        <v>110904.080405257</v>
      </c>
    </row>
    <row r="152" spans="1:11" ht="17" x14ac:dyDescent="0.2">
      <c r="A152" s="2" t="s">
        <v>156</v>
      </c>
      <c r="B152" s="2" t="s">
        <v>169</v>
      </c>
      <c r="C152" s="2" t="s">
        <v>313</v>
      </c>
      <c r="D152" s="5"/>
      <c r="E152" s="3" t="s">
        <v>296</v>
      </c>
      <c r="F152" s="3" t="s">
        <v>297</v>
      </c>
      <c r="G152" s="3" t="s">
        <v>296</v>
      </c>
      <c r="H152" s="3" t="s">
        <v>296</v>
      </c>
      <c r="I152" s="3" t="s">
        <v>290</v>
      </c>
      <c r="J152" s="26" t="s">
        <v>405</v>
      </c>
      <c r="K152" s="9">
        <v>71.436928596104806</v>
      </c>
    </row>
    <row r="153" spans="1:11" ht="17" x14ac:dyDescent="0.2">
      <c r="A153" s="2" t="s">
        <v>157</v>
      </c>
      <c r="B153" s="2" t="s">
        <v>169</v>
      </c>
      <c r="C153" s="2" t="s">
        <v>313</v>
      </c>
      <c r="D153" s="5"/>
      <c r="E153" s="3" t="s">
        <v>296</v>
      </c>
      <c r="F153" s="3" t="s">
        <v>297</v>
      </c>
      <c r="G153" s="3" t="s">
        <v>296</v>
      </c>
      <c r="H153" s="3" t="s">
        <v>296</v>
      </c>
      <c r="I153" s="3" t="s">
        <v>291</v>
      </c>
      <c r="J153" s="26" t="s">
        <v>408</v>
      </c>
      <c r="K153" s="9">
        <v>73.787994313092597</v>
      </c>
    </row>
    <row r="154" spans="1:11" ht="17" x14ac:dyDescent="0.2">
      <c r="A154" s="2" t="s">
        <v>158</v>
      </c>
      <c r="B154" s="2" t="s">
        <v>169</v>
      </c>
      <c r="C154" s="2" t="s">
        <v>313</v>
      </c>
      <c r="D154" s="5"/>
      <c r="E154" s="3" t="s">
        <v>296</v>
      </c>
      <c r="F154" s="3" t="s">
        <v>296</v>
      </c>
      <c r="G154" s="3" t="s">
        <v>296</v>
      </c>
      <c r="H154" s="3" t="s">
        <v>297</v>
      </c>
      <c r="I154" s="3" t="s">
        <v>292</v>
      </c>
      <c r="J154" s="26" t="s">
        <v>404</v>
      </c>
      <c r="K154" s="9">
        <v>58329.899572894603</v>
      </c>
    </row>
    <row r="155" spans="1:11" ht="34" x14ac:dyDescent="0.2">
      <c r="A155" s="2" t="s">
        <v>159</v>
      </c>
      <c r="B155" s="2" t="s">
        <v>169</v>
      </c>
      <c r="C155" s="2" t="s">
        <v>313</v>
      </c>
      <c r="D155" s="5"/>
      <c r="E155" s="3" t="s">
        <v>296</v>
      </c>
      <c r="F155" s="3" t="s">
        <v>296</v>
      </c>
      <c r="G155" s="3" t="s">
        <v>296</v>
      </c>
      <c r="H155" s="3" t="s">
        <v>296</v>
      </c>
      <c r="I155" s="3" t="s">
        <v>287</v>
      </c>
      <c r="J155" s="26" t="s">
        <v>410</v>
      </c>
      <c r="K155" s="9">
        <v>899.08268648057799</v>
      </c>
    </row>
    <row r="156" spans="1:11" ht="17" x14ac:dyDescent="0.2">
      <c r="A156" s="2" t="s">
        <v>160</v>
      </c>
      <c r="B156" s="2" t="s">
        <v>169</v>
      </c>
      <c r="C156" s="2" t="s">
        <v>313</v>
      </c>
      <c r="D156" s="5"/>
      <c r="E156" s="3" t="s">
        <v>296</v>
      </c>
      <c r="F156" s="3" t="s">
        <v>296</v>
      </c>
      <c r="G156" s="3" t="s">
        <v>296</v>
      </c>
      <c r="H156" s="3" t="s">
        <v>296</v>
      </c>
      <c r="I156" s="3" t="s">
        <v>288</v>
      </c>
      <c r="J156" s="26" t="s">
        <v>406</v>
      </c>
      <c r="K156" s="9">
        <v>43.383302519946099</v>
      </c>
    </row>
    <row r="157" spans="1:11" x14ac:dyDescent="0.2">
      <c r="A157" t="s">
        <v>317</v>
      </c>
    </row>
    <row r="158" spans="1:11" x14ac:dyDescent="0.2">
      <c r="A158" t="s">
        <v>318</v>
      </c>
    </row>
    <row r="159" spans="1:11" x14ac:dyDescent="0.2">
      <c r="A159" t="s">
        <v>319</v>
      </c>
    </row>
  </sheetData>
  <sortState xmlns:xlrd2="http://schemas.microsoft.com/office/spreadsheetml/2017/richdata2" ref="A2:K159">
    <sortCondition ref="B1:B159"/>
  </sortState>
  <hyperlinks>
    <hyperlink ref="J130" r:id="rId1" display="https://dataview.ncbi.nlm.nih.gov/object/SRR30712328" xr:uid="{ACE3B014-DDA9-F441-8B9C-674E132C82D9}"/>
    <hyperlink ref="J30" r:id="rId2" display="https://dataview.ncbi.nlm.nih.gov/object/SRR30712319" xr:uid="{C79944F7-03DB-9142-9E31-7E104F602C62}"/>
    <hyperlink ref="J24" r:id="rId3" display="https://dataview.ncbi.nlm.nih.gov/object/SRR30712325" xr:uid="{B9A7C068-B310-674E-B8AF-0393B4A63362}"/>
    <hyperlink ref="J32" r:id="rId4" display="https://dataview.ncbi.nlm.nih.gov/object/SRR30712316" xr:uid="{9F87E7E1-9242-384A-BD6D-17CB69D8D0A8}"/>
    <hyperlink ref="J29" r:id="rId5" display="https://dataview.ncbi.nlm.nih.gov/object/SRR30712320" xr:uid="{E2529B76-5833-F04E-9010-577C45174964}"/>
    <hyperlink ref="J26" r:id="rId6" display="https://dataview.ncbi.nlm.nih.gov/object/SRR30712323" xr:uid="{EBE5E1A1-0C30-014C-9922-D35DB890E42B}"/>
    <hyperlink ref="J23" r:id="rId7" display="https://dataview.ncbi.nlm.nih.gov/object/SRR30712326" xr:uid="{9882B08C-57F1-BE41-89F3-880D28C3AE31}"/>
    <hyperlink ref="J5" r:id="rId8" display="https://dataview.ncbi.nlm.nih.gov/object/SRR30712317" xr:uid="{956BC1BC-9C32-984C-9DC0-9FCB9E4B7E44}"/>
    <hyperlink ref="J28" r:id="rId9" display="https://dataview.ncbi.nlm.nih.gov/object/SRR30712321" xr:uid="{77E591C3-744E-E849-8FFB-39858B50B9CE}"/>
    <hyperlink ref="J31" r:id="rId10" display="https://dataview.ncbi.nlm.nih.gov/object/SRR30712318" xr:uid="{BA1DB227-8EC0-2A46-AEBD-85C45214AC04}"/>
    <hyperlink ref="J22" r:id="rId11" display="https://dataview.ncbi.nlm.nih.gov/object/SRR30712327" xr:uid="{FE6AC063-46A8-DF49-A8C5-762D49801D19}"/>
    <hyperlink ref="J25" r:id="rId12" display="https://dataview.ncbi.nlm.nih.gov/object/SRR30712324" xr:uid="{26DFFC5B-7AB5-E24E-92A8-6B2949BCA2A1}"/>
    <hyperlink ref="J2" r:id="rId13" display="https://dataview.ncbi.nlm.nih.gov/object/SRR30712331" xr:uid="{8AAFF53F-B4AB-9F49-AEAB-E2CC5F96B98E}"/>
    <hyperlink ref="J27" r:id="rId14" display="https://dataview.ncbi.nlm.nih.gov/object/SRR30712322" xr:uid="{CAC3582E-50A9-E64D-A7B6-D4793571BE1D}"/>
    <hyperlink ref="J12" r:id="rId15" display="https://dataview.ncbi.nlm.nih.gov/object/SRR30712329" xr:uid="{6C9ADB36-16CF-CF40-B3FD-0B82BBFB47A7}"/>
    <hyperlink ref="J3" r:id="rId16" display="https://dataview.ncbi.nlm.nih.gov/object/SRR30712330" xr:uid="{A5B64DCC-4ABC-C74C-B7DC-05FDB9220C93}"/>
    <hyperlink ref="J40" r:id="rId17" display="https://dataview.ncbi.nlm.nih.gov/object/SRR30712308" xr:uid="{E08F9C6E-CD7E-194B-9A57-AE69C1B27A7B}"/>
    <hyperlink ref="J34" r:id="rId18" display="https://dataview.ncbi.nlm.nih.gov/object/SRR30712314" xr:uid="{074FDAE6-CB39-484E-A1D4-12E60633AA13}"/>
    <hyperlink ref="J48" r:id="rId19" display="https://dataview.ncbi.nlm.nih.gov/object/SRR30712299" xr:uid="{7020B3F5-35EA-9B40-8B67-D5A50343FD32}"/>
    <hyperlink ref="J33" r:id="rId20" display="https://dataview.ncbi.nlm.nih.gov/object/SRR30712315" xr:uid="{73C96E1D-5E8E-3948-BB70-FEF71FFFA688}"/>
    <hyperlink ref="J90" r:id="rId21" display="https://dataview.ncbi.nlm.nih.gov/object/SRR30712289" xr:uid="{476122A0-EC9B-D941-BB9D-3A93715C21D5}"/>
    <hyperlink ref="J132" r:id="rId22" display="https://dataview.ncbi.nlm.nih.gov/object/SRR30712295" xr:uid="{FA061180-F604-FC42-8567-6C9B64EBA7A5}"/>
    <hyperlink ref="J88" r:id="rId23" display="https://dataview.ncbi.nlm.nih.gov/object/SRR30712291" xr:uid="{39394FF3-6657-FC4C-A739-D0F280B5E66D}"/>
    <hyperlink ref="J134" r:id="rId24" display="https://dataview.ncbi.nlm.nih.gov/object/SRR30712293" xr:uid="{ADFC7FC5-873E-1D48-8715-40FF05AACCCF}"/>
    <hyperlink ref="J131" r:id="rId25" display="https://dataview.ncbi.nlm.nih.gov/object/SRR30712296" xr:uid="{C4950A4D-0B3C-0143-B569-CDD768A74109}"/>
    <hyperlink ref="J135" r:id="rId26" display="https://dataview.ncbi.nlm.nih.gov/object/SRR30712292" xr:uid="{B69071A2-E2C5-B94F-A03E-AED914F69392}"/>
    <hyperlink ref="J89" r:id="rId27" display="https://dataview.ncbi.nlm.nih.gov/object/SRR30712290" xr:uid="{4981AC19-8F5B-BB40-9C10-D21ECFF8F15F}"/>
    <hyperlink ref="J35" r:id="rId28" display="https://dataview.ncbi.nlm.nih.gov/object/SRR30712313" xr:uid="{B13483DD-D6BF-9D45-AC2F-8BED8D57049F}"/>
    <hyperlink ref="J42" r:id="rId29" display="https://dataview.ncbi.nlm.nih.gov/object/SRR30712305" xr:uid="{767CE1CF-2D83-B447-8D56-E03B6645EE9E}"/>
    <hyperlink ref="J36" r:id="rId30" display="https://dataview.ncbi.nlm.nih.gov/object/SRR30712312" xr:uid="{804AACEF-3518-9F4B-9E0A-3B3956AB8748}"/>
    <hyperlink ref="J46" r:id="rId31" display="https://dataview.ncbi.nlm.nih.gov/object/SRR30712301" xr:uid="{E17C7FD9-0407-3748-B6F9-6D834396EFAE}"/>
    <hyperlink ref="J45" r:id="rId32" display="https://dataview.ncbi.nlm.nih.gov/object/SRR30712302" xr:uid="{66CA6EFF-0579-324E-B601-3933B6D8F29E}"/>
    <hyperlink ref="J44" r:id="rId33" display="https://dataview.ncbi.nlm.nih.gov/object/SRR30712303" xr:uid="{04CD2DD9-9D16-0D44-AAB0-09AA8A923311}"/>
    <hyperlink ref="J41" r:id="rId34" display="https://dataview.ncbi.nlm.nih.gov/object/SRR30712307" xr:uid="{8F9DA65E-BFBD-EE4E-BF4E-F183A9456A2B}"/>
    <hyperlink ref="J6" r:id="rId35" display="https://dataview.ncbi.nlm.nih.gov/object/SRR30712306" xr:uid="{495D5A51-5FBB-1C4E-8E12-5DA8FCF4B92D}"/>
    <hyperlink ref="J43" r:id="rId36" display="https://dataview.ncbi.nlm.nih.gov/object/SRR30712304" xr:uid="{4F19CC8A-CD21-CE4A-B302-B353BA205851}"/>
    <hyperlink ref="J37" r:id="rId37" display="https://dataview.ncbi.nlm.nih.gov/object/SRR30712311" xr:uid="{A0D02973-4E15-664F-9117-CF16C93CFE3B}"/>
    <hyperlink ref="J38" r:id="rId38" display="https://dataview.ncbi.nlm.nih.gov/object/SRR30712310" xr:uid="{276CCDBE-1362-2449-B716-A4E070B8E54C}"/>
    <hyperlink ref="J47" r:id="rId39" display="https://dataview.ncbi.nlm.nih.gov/object/SRR30712300" xr:uid="{A3F39931-FBB6-3C49-A4FA-D722455A9B55}"/>
    <hyperlink ref="J39" r:id="rId40" display="https://dataview.ncbi.nlm.nih.gov/object/SRR30712309" xr:uid="{4AB7F78A-7BA5-D743-ACB3-748412896E64}"/>
    <hyperlink ref="J133" r:id="rId41" display="https://dataview.ncbi.nlm.nih.gov/object/SRR30712294" xr:uid="{05FB4409-27AC-EE41-9D0E-111C0ACED4A3}"/>
    <hyperlink ref="J49" r:id="rId42" display="https://dataview.ncbi.nlm.nih.gov/object/SRR30712298" xr:uid="{55CDCB77-0FA6-D744-A554-8FA4E1B2AE39}"/>
    <hyperlink ref="J93" r:id="rId43" display="https://dataview.ncbi.nlm.nih.gov/object/SRR30712285" xr:uid="{1EF17C17-AA6F-D546-945F-B4ABA2EBE93F}"/>
    <hyperlink ref="J50" r:id="rId44" display="https://dataview.ncbi.nlm.nih.gov/object/SRR30712297" xr:uid="{14714E39-4EAB-3047-BF6B-7BF420D65065}"/>
    <hyperlink ref="J91" r:id="rId45" display="https://dataview.ncbi.nlm.nih.gov/object/SRR30712288" xr:uid="{C6B9A43C-99EC-4146-9A33-3864FB55F821}"/>
    <hyperlink ref="J13" r:id="rId46" display="https://dataview.ncbi.nlm.nih.gov/object/SRR30712287" xr:uid="{BD59958B-B77E-CD43-A6A3-56B423C7FA56}"/>
    <hyperlink ref="J94" r:id="rId47" display="https://dataview.ncbi.nlm.nih.gov/object/SRR30712284" xr:uid="{7EA4B852-8652-7B48-9717-215DAB2C6572}"/>
    <hyperlink ref="J92" r:id="rId48" display="https://dataview.ncbi.nlm.nih.gov/object/SRR30712286" xr:uid="{BE3F6F44-9296-AD42-8E41-1AD181C56110}"/>
    <hyperlink ref="J138" r:id="rId49" display="https://dataview.ncbi.nlm.nih.gov/object/SRR30712275" xr:uid="{91E88C6E-0C69-7F41-8B33-C82017A8B284}"/>
    <hyperlink ref="J104" r:id="rId50" display="https://dataview.ncbi.nlm.nih.gov/object/SRR30712264" xr:uid="{8451A118-6362-7446-8813-82A09DB09E69}"/>
    <hyperlink ref="J102" r:id="rId51" display="https://dataview.ncbi.nlm.nih.gov/object/SRR30712267" xr:uid="{7015F4E7-FB03-7E4B-B4B7-6E759F0E470A}"/>
    <hyperlink ref="J139" r:id="rId52" display="https://dataview.ncbi.nlm.nih.gov/object/SRR30712274" xr:uid="{D22C4961-506E-FC4B-A9C3-FC25D4B9700C}"/>
    <hyperlink ref="J143" r:id="rId53" display="https://dataview.ncbi.nlm.nih.gov/object/SRR30712270" xr:uid="{76F9C7B1-63E4-424A-9A56-FD7D068EBA9E}"/>
    <hyperlink ref="J98" r:id="rId54" display="https://dataview.ncbi.nlm.nih.gov/object/SRR30712280" xr:uid="{C86FD85B-3B28-6842-BB10-A6614757A00B}"/>
    <hyperlink ref="J136" r:id="rId55" display="https://dataview.ncbi.nlm.nih.gov/object/SRR30712278" xr:uid="{AD9794C1-9355-1445-834B-1ECAF401BBDC}"/>
    <hyperlink ref="J103" r:id="rId56" display="https://dataview.ncbi.nlm.nih.gov/object/SRR30712266" xr:uid="{876B1791-8295-7946-A47A-2CBB26C07A04}"/>
    <hyperlink ref="J137" r:id="rId57" display="https://dataview.ncbi.nlm.nih.gov/object/SRR30712277" xr:uid="{5ADA3DE7-B5C8-8848-814D-0208F4E3167A}"/>
    <hyperlink ref="J140" r:id="rId58" display="https://dataview.ncbi.nlm.nih.gov/object/SRR30712273" xr:uid="{929576FE-83B6-BD46-9CCE-E84A61ED0D4F}"/>
    <hyperlink ref="J142" r:id="rId59" display="https://dataview.ncbi.nlm.nih.gov/object/SRR30712271" xr:uid="{AF06B9AE-9BD1-5A4A-9F0B-A4CFF9B90190}"/>
    <hyperlink ref="J100" r:id="rId60" display="https://dataview.ncbi.nlm.nih.gov/object/SRR30712269" xr:uid="{99FA33FF-3357-2F4D-9BE0-61FB00801868}"/>
    <hyperlink ref="J112" r:id="rId61" display="https://dataview.ncbi.nlm.nih.gov/object/SRR30712256" xr:uid="{16F58008-7939-034D-8FEF-65AD2259E486}"/>
    <hyperlink ref="J146" r:id="rId62" display="https://dataview.ncbi.nlm.nih.gov/object/SRR30712252" xr:uid="{FEFA9A2C-531D-C248-961D-341108B7698C}"/>
    <hyperlink ref="J147" r:id="rId63" display="https://dataview.ncbi.nlm.nih.gov/object/SRR30712251" xr:uid="{9603360C-83BB-674A-A54C-B1DBD06400CA}"/>
    <hyperlink ref="J111" r:id="rId64" display="https://dataview.ncbi.nlm.nih.gov/object/SRR30712257" xr:uid="{5BD30EB8-9F5E-4042-9B49-A84889C88E4E}"/>
    <hyperlink ref="J110" r:id="rId65" display="https://dataview.ncbi.nlm.nih.gov/object/SRR30712258" xr:uid="{00C81233-C58C-F844-9B8B-9D12AA01920A}"/>
    <hyperlink ref="J109" r:id="rId66" display="https://dataview.ncbi.nlm.nih.gov/object/SRR30712259" xr:uid="{A78D1805-4A30-854B-AFB8-8E8944D3EF25}"/>
    <hyperlink ref="J145" r:id="rId67" display="https://dataview.ncbi.nlm.nih.gov/object/SRR30712253" xr:uid="{7C6EE227-DBE9-8746-B565-938A3F09279B}"/>
    <hyperlink ref="J148" r:id="rId68" display="https://dataview.ncbi.nlm.nih.gov/object/SRR30712250" xr:uid="{979C85EE-8074-BC48-9448-FBDE97067AB5}"/>
    <hyperlink ref="J106" r:id="rId69" display="https://dataview.ncbi.nlm.nih.gov/object/SRR30712262" xr:uid="{21087735-235B-3B49-AF85-E69D9E313658}"/>
    <hyperlink ref="J150" r:id="rId70" display="https://dataview.ncbi.nlm.nih.gov/object/SRR30712248" xr:uid="{C0B1270B-7A4C-2D4D-BA06-1614C578EFC8}"/>
    <hyperlink ref="J144" r:id="rId71" display="https://dataview.ncbi.nlm.nih.gov/object/SRR30712255" xr:uid="{7C225E7C-68E2-BE45-84B4-E0508F4191C9}"/>
    <hyperlink ref="J16" r:id="rId72" display="https://dataview.ncbi.nlm.nih.gov/object/SRR30712254" xr:uid="{49A6D8B7-FAD1-C84E-80C7-8281AC102A43}"/>
    <hyperlink ref="J97" r:id="rId73" display="https://dataview.ncbi.nlm.nih.gov/object/SRR30712281" xr:uid="{33D6B06A-599D-9D4C-B924-E6E5D426F7AF}"/>
    <hyperlink ref="J141" r:id="rId74" display="https://dataview.ncbi.nlm.nih.gov/object/SRR30712272" xr:uid="{60DC91FB-EB62-8941-BFFA-98BA1EE1080B}"/>
    <hyperlink ref="J99" r:id="rId75" display="https://dataview.ncbi.nlm.nih.gov/object/SRR30712279" xr:uid="{627DC917-2CA9-954A-921B-4D79464E9959}"/>
    <hyperlink ref="J15" r:id="rId76" display="https://dataview.ncbi.nlm.nih.gov/object/SRR30712265" xr:uid="{93D326E1-407E-EB4E-9CBB-B4A164E4A296}"/>
    <hyperlink ref="J95" r:id="rId77" display="https://dataview.ncbi.nlm.nih.gov/object/SRR30712283" xr:uid="{A3382DC3-295A-0044-9B54-771A691CA1E4}"/>
    <hyperlink ref="J101" r:id="rId78" display="https://dataview.ncbi.nlm.nih.gov/object/SRR30712268" xr:uid="{4255D29B-2809-6643-93C9-7471DF8A23BC}"/>
    <hyperlink ref="J96" r:id="rId79" display="https://dataview.ncbi.nlm.nih.gov/object/SRR30712282" xr:uid="{F71AB202-F4D7-EE45-9F8D-86E27BAF68D6}"/>
    <hyperlink ref="J14" r:id="rId80" display="https://dataview.ncbi.nlm.nih.gov/object/SRR30712276" xr:uid="{27C7060B-D9E9-6D4B-85C1-BBE5B286649F}"/>
    <hyperlink ref="J149" r:id="rId81" display="https://dataview.ncbi.nlm.nih.gov/object/SRR30712276" xr:uid="{2BA5961D-5AC2-D843-9CDE-B2DD54D7EB42}"/>
    <hyperlink ref="J107" r:id="rId82" display="https://dataview.ncbi.nlm.nih.gov/object/SRR30712261" xr:uid="{B48A75E3-BF0A-F34E-88C0-CF93EF9BB75A}"/>
    <hyperlink ref="J105" r:id="rId83" display="https://dataview.ncbi.nlm.nih.gov/object/SRR30712263" xr:uid="{BD8C6266-BAA6-DB49-AC28-AA9C225CD90B}"/>
    <hyperlink ref="J108" r:id="rId84" display="https://dataview.ncbi.nlm.nih.gov/object/SRR30712260" xr:uid="{5293A5E4-1CBC-144E-AAC7-19071760F4B0}"/>
    <hyperlink ref="J18" r:id="rId85" display="https://dataview.ncbi.nlm.nih.gov/object/SRR30712237" xr:uid="{BCA07743-8447-1949-866E-C3AA1EC1C593}"/>
    <hyperlink ref="J154" r:id="rId86" display="https://dataview.ncbi.nlm.nih.gov/object/SRR30712244" xr:uid="{2AAD01A2-0F3D-0449-B131-1B16D8C1E8DF}"/>
    <hyperlink ref="J152" r:id="rId87" display="https://dataview.ncbi.nlm.nih.gov/object/SRR30712246" xr:uid="{FE7EAAE4-7542-DE4E-BB70-082130AA7FFB}"/>
    <hyperlink ref="J156" r:id="rId88" display="https://dataview.ncbi.nlm.nih.gov/object/SRR30712241" xr:uid="{5FE7DF6A-181F-EE4A-991D-CD0B41290927}"/>
    <hyperlink ref="J114" r:id="rId89" display="https://dataview.ncbi.nlm.nih.gov/object/SRR30712239" xr:uid="{F162B722-CD73-7A4B-9B90-C3A5A683C9B1}"/>
    <hyperlink ref="J153" r:id="rId90" display="https://dataview.ncbi.nlm.nih.gov/object/SRR30712245" xr:uid="{38AC5A04-1BA2-214E-B9A8-E0654635684A}"/>
    <hyperlink ref="J151" r:id="rId91" display="https://dataview.ncbi.nlm.nih.gov/object/SRR30712247" xr:uid="{9916BD98-1286-9E46-B137-5D0823C8F218}"/>
    <hyperlink ref="J155" r:id="rId92" display="https://dataview.ncbi.nlm.nih.gov/object/SRR30712242" xr:uid="{16D8D832-85BE-3247-99D9-A0CFB387DF45}"/>
    <hyperlink ref="J21" r:id="rId93" display="https://dataview.ncbi.nlm.nih.gov/object/SRR30712234" xr:uid="{7CE3559F-DBFF-DF4C-882E-113EB6C37147}"/>
    <hyperlink ref="J51" r:id="rId94" display="https://dataview.ncbi.nlm.nih.gov/object/SRR30712233" xr:uid="{84ECF199-938E-FB4D-98FC-D3DFBBFA8CA9}"/>
    <hyperlink ref="J115" r:id="rId95" display="https://dataview.ncbi.nlm.nih.gov/object/SRR30712238" xr:uid="{E53A29BD-F64A-F646-BD95-F3FE815A86EE}"/>
    <hyperlink ref="J20" r:id="rId96" display="https://dataview.ncbi.nlm.nih.gov/object/SRR30712235" xr:uid="{096380B4-B92C-5C43-B888-E967B17EAF52}"/>
    <hyperlink ref="J17" r:id="rId97" display="https://dataview.ncbi.nlm.nih.gov/object/SRR30712243" xr:uid="{0F6A169F-C52E-2345-AEAE-4FE1A437D78F}"/>
    <hyperlink ref="J19" r:id="rId98" display="https://dataview.ncbi.nlm.nih.gov/object/SRR30712243" xr:uid="{2015B8E7-EEE6-ED4D-8A11-0F6C1668F8EF}"/>
    <hyperlink ref="J62" r:id="rId99" display="https://dataview.ncbi.nlm.nih.gov/object/SRR30712219" xr:uid="{4D40C1F9-E94D-DC4C-873C-5571F1960625}"/>
    <hyperlink ref="J72" r:id="rId100" display="https://dataview.ncbi.nlm.nih.gov/object/SRR30712208" xr:uid="{3BE1D395-BF90-F04D-9C4B-463D0CE36ABB}"/>
    <hyperlink ref="J67" r:id="rId101" display="https://dataview.ncbi.nlm.nih.gov/object/SRR30712214" xr:uid="{3173BBB9-59BC-1844-A463-870956B6BB01}"/>
    <hyperlink ref="J70" r:id="rId102" display="https://dataview.ncbi.nlm.nih.gov/object/SRR30712214" xr:uid="{427EC75B-12D2-984C-BC37-E04A495A76AF}"/>
    <hyperlink ref="J74" r:id="rId103" display="https://dataview.ncbi.nlm.nih.gov/object/SRR30712206" xr:uid="{15744D38-D758-4B48-BE0F-F89BC1C336A1}"/>
    <hyperlink ref="J75" r:id="rId104" display="https://dataview.ncbi.nlm.nih.gov/object/SRR30712205" xr:uid="{CA63847F-6EA2-A44E-AC22-713EFF4DFA98}"/>
    <hyperlink ref="J56" r:id="rId105" display="https://dataview.ncbi.nlm.nih.gov/object/SRR30712226" xr:uid="{1101F5D6-9F91-E643-AE86-01AFE9DEB218}"/>
    <hyperlink ref="J61" r:id="rId106" display="https://dataview.ncbi.nlm.nih.gov/object/SRR30712221" xr:uid="{28AFDC43-D16E-C34E-BD85-66AF86C49D54}"/>
    <hyperlink ref="J58" r:id="rId107" display="https://dataview.ncbi.nlm.nih.gov/object/SRR30712224" xr:uid="{658CD490-F592-E24B-BDEC-07DF41661FC6}"/>
    <hyperlink ref="J52" r:id="rId108" display="https://dataview.ncbi.nlm.nih.gov/object/SRR30712230" xr:uid="{AAB6547D-9147-6F45-B32A-9E34FDAD0371}"/>
    <hyperlink ref="J59" r:id="rId109" display="https://dataview.ncbi.nlm.nih.gov/object/SRR30712223" xr:uid="{AA8D8D4D-7F10-244E-881D-756DF4B1D9D3}"/>
    <hyperlink ref="J7" r:id="rId110" display="https://dataview.ncbi.nlm.nih.gov/object/SRR30712231" xr:uid="{2E134B98-FAA6-0046-B529-483DBD7289BF}"/>
    <hyperlink ref="J64" r:id="rId111" display="https://dataview.ncbi.nlm.nih.gov/object/SRR30712217" xr:uid="{FB95BBC7-6920-3442-B5B2-0D2C7602C6D8}"/>
    <hyperlink ref="J8" r:id="rId112" display="https://dataview.ncbi.nlm.nih.gov/object/SRR30712220" xr:uid="{EBC8A123-36B8-F944-ACCB-0B95C15A852C}"/>
    <hyperlink ref="J57" r:id="rId113" display="https://dataview.ncbi.nlm.nih.gov/object/SRR30712225" xr:uid="{8DA6FC98-DB46-7C4E-B294-B56A61EF854E}"/>
    <hyperlink ref="J63" r:id="rId114" display="https://dataview.ncbi.nlm.nih.gov/object/SRR30712218" xr:uid="{2CDD972E-A2D9-1242-8A79-ADA08E9292A3}"/>
    <hyperlink ref="J55" r:id="rId115" display="https://dataview.ncbi.nlm.nih.gov/object/SRR30712227" xr:uid="{2CF7184A-4E22-0347-A41F-DADE646CC53B}"/>
    <hyperlink ref="J54" r:id="rId116" display="https://dataview.ncbi.nlm.nih.gov/object/SRR30712228" xr:uid="{779FD731-835B-804D-82D4-2DB48272087F}"/>
    <hyperlink ref="J53" r:id="rId117" display="https://dataview.ncbi.nlm.nih.gov/object/SRR30712229" xr:uid="{EB48928D-3D71-D947-BDAE-3AB3722CC725}"/>
    <hyperlink ref="J4" r:id="rId118" display="https://dataview.ncbi.nlm.nih.gov/object/SRR30712232" xr:uid="{EB8C91AA-ABED-184A-BE8E-A04DDF4D7128}"/>
    <hyperlink ref="J60" r:id="rId119" display="https://dataview.ncbi.nlm.nih.gov/object/SRR30712222" xr:uid="{B01606B5-EFE2-5045-8E1F-C20A1973E6C6}"/>
    <hyperlink ref="J9" r:id="rId120" display="https://dataview.ncbi.nlm.nih.gov/object/SRR30712209" xr:uid="{F467A421-A511-DC4F-B7AE-CE91CB7801D1}"/>
    <hyperlink ref="J73" r:id="rId121" display="https://dataview.ncbi.nlm.nih.gov/object/SRR30712207" xr:uid="{C3844BE2-F3E4-7143-975C-CA71537DECA8}"/>
    <hyperlink ref="J66" r:id="rId122" display="https://dataview.ncbi.nlm.nih.gov/object/SRR30712215" xr:uid="{5FCC2484-0F38-F246-A0C9-4879702C43A8}"/>
    <hyperlink ref="J69" r:id="rId123" display="https://dataview.ncbi.nlm.nih.gov/object/SRR30712212" xr:uid="{AFCDCEED-CA2F-E14C-A7AA-E2B1456011C7}"/>
    <hyperlink ref="J68" r:id="rId124" display="https://dataview.ncbi.nlm.nih.gov/object/SRR30712213" xr:uid="{41F44074-2A2A-C849-AA70-408CA33A1E86}"/>
    <hyperlink ref="J71" r:id="rId125" display="https://dataview.ncbi.nlm.nih.gov/object/SRR30712210" xr:uid="{3B7E924A-1FDE-2B41-A904-1022C934AB8E}"/>
    <hyperlink ref="J65" r:id="rId126" display="https://dataview.ncbi.nlm.nih.gov/object/SRR30712216" xr:uid="{C3027F1C-DD64-7A4D-B8CC-B4A36CB8D4CD}"/>
    <hyperlink ref="J86" r:id="rId127" display="https://dataview.ncbi.nlm.nih.gov/object/SRR30712193" xr:uid="{C93B56E5-DAA0-EE42-A50A-163ED7E376B7}"/>
    <hyperlink ref="J10" r:id="rId128" display="https://dataview.ncbi.nlm.nih.gov/object/SRR30712198" xr:uid="{2EF3B634-AB1B-7D44-B3AD-3ECC96B3C9DB}"/>
    <hyperlink ref="J84" r:id="rId129" display="https://dataview.ncbi.nlm.nih.gov/object/SRR30712195" xr:uid="{8A263AEB-8A1D-C045-9962-3C52DA9458F0}"/>
    <hyperlink ref="J87" r:id="rId130" display="https://dataview.ncbi.nlm.nih.gov/object/SRR30712192" xr:uid="{1EDE0B20-4D40-794A-8DC1-D5A294843C76}"/>
    <hyperlink ref="J81" r:id="rId131" display="https://dataview.ncbi.nlm.nih.gov/object/SRR30712199" xr:uid="{7CB37725-CB33-BD40-92D2-4F4017725676}"/>
    <hyperlink ref="J83" r:id="rId132" display="https://dataview.ncbi.nlm.nih.gov/object/SRR30712196" xr:uid="{2E9D7797-815B-BF4F-9943-859B4440462C}"/>
    <hyperlink ref="J82" r:id="rId133" display="https://dataview.ncbi.nlm.nih.gov/object/SRR30712197" xr:uid="{13E8C166-00B2-C645-9A37-C9BE9135DEAF}"/>
    <hyperlink ref="J117" r:id="rId134" display="https://dataview.ncbi.nlm.nih.gov/object/SRR30712190" xr:uid="{61AE1535-530B-1A41-901A-16984EBAD657}"/>
    <hyperlink ref="J85" r:id="rId135" display="https://dataview.ncbi.nlm.nih.gov/object/SRR30712194" xr:uid="{4DFE496C-8C4F-794F-85DD-C6623786165E}"/>
    <hyperlink ref="J76" r:id="rId136" display="https://dataview.ncbi.nlm.nih.gov/object/SRR30712204" xr:uid="{F6D29D09-60B7-0547-B661-A04B5379EA00}"/>
    <hyperlink ref="J79" r:id="rId137" display="https://dataview.ncbi.nlm.nih.gov/object/SRR30712201" xr:uid="{8BBA8166-53F5-BD42-AF7A-A36BC7118453}"/>
    <hyperlink ref="J116" r:id="rId138" display="https://dataview.ncbi.nlm.nih.gov/object/SRR30712191" xr:uid="{D3FE4F1A-3ACE-304A-B3EC-0A2B82E6DF57}"/>
    <hyperlink ref="J80" r:id="rId139" display="https://dataview.ncbi.nlm.nih.gov/object/SRR30712200" xr:uid="{C585CB25-C3F3-C142-AE02-5873CF9D27E7}"/>
    <hyperlink ref="J11" r:id="rId140" display="https://dataview.ncbi.nlm.nih.gov/object/SRR30712187" xr:uid="{5AAB7106-3172-1B43-B6C9-FDDB4ED78F5F}"/>
    <hyperlink ref="J125" r:id="rId141" display="https://dataview.ncbi.nlm.nih.gov/object/SRR30712181" xr:uid="{06ECDC29-8850-FE40-90F9-82C6FB9D6448}"/>
    <hyperlink ref="J128" r:id="rId142" display="https://dataview.ncbi.nlm.nih.gov/object/SRR30712178" xr:uid="{2948044A-169A-174A-B9D4-63B268FE4859}"/>
    <hyperlink ref="J118" r:id="rId143" display="https://dataview.ncbi.nlm.nih.gov/object/SRR30712189" xr:uid="{2301EDCE-3F63-3146-9C4F-A5C5ADA0FCD5}"/>
    <hyperlink ref="J126" r:id="rId144" display="https://dataview.ncbi.nlm.nih.gov/object/SRR30712180" xr:uid="{5D94B5C4-22C1-9843-97D8-4A7F7A641054}"/>
    <hyperlink ref="J123" r:id="rId145" display="https://dataview.ncbi.nlm.nih.gov/object/SRR30712183" xr:uid="{47A47F73-F566-0144-9A84-4E40AAB50F27}"/>
    <hyperlink ref="J120" r:id="rId146" display="https://dataview.ncbi.nlm.nih.gov/object/SRR30712186" xr:uid="{CB83D77A-849E-6448-B628-698062C9E043}"/>
    <hyperlink ref="J127" r:id="rId147" display="https://dataview.ncbi.nlm.nih.gov/object/SRR30712179" xr:uid="{E55A4AD3-595C-5C4E-9548-E2F32657A89D}"/>
    <hyperlink ref="J124" r:id="rId148" display="https://dataview.ncbi.nlm.nih.gov/object/SRR30712182" xr:uid="{E2E95527-C1A4-4345-B242-DFBE2299CF0C}"/>
    <hyperlink ref="J122" r:id="rId149" display="https://dataview.ncbi.nlm.nih.gov/object/SRR30712184" xr:uid="{B91ACECD-5B42-B042-AAB2-F6622AD03119}"/>
    <hyperlink ref="J121" r:id="rId150" display="https://dataview.ncbi.nlm.nih.gov/object/SRR30712185" xr:uid="{101148AB-ED0A-1E49-89A1-B3DEF422CB45}"/>
    <hyperlink ref="J129" r:id="rId151" display="https://dataview.ncbi.nlm.nih.gov/object/SRR30712177" xr:uid="{4539813A-D89D-8A4E-89F3-D40CA2C59EC7}"/>
    <hyperlink ref="J119" r:id="rId152" display="https://dataview.ncbi.nlm.nih.gov/object/SRR30712188" xr:uid="{56F24BF2-0271-184A-8AD2-EBDC5B9B7C5F}"/>
    <hyperlink ref="J77" r:id="rId153" display="https://dataview.ncbi.nlm.nih.gov/object/SRR30712203" xr:uid="{528D3AF7-D2CC-AE45-8068-1EC617A9EBC5}"/>
    <hyperlink ref="J78" r:id="rId154" display="https://dataview.ncbi.nlm.nih.gov/object/SRR30712202" xr:uid="{D5E95D4E-1613-9E45-BF13-6A2267179D20}"/>
    <hyperlink ref="J113" r:id="rId155" display="https://dataview.ncbi.nlm.nih.gov/object/SRR30712240" xr:uid="{5A3F6FF2-675F-0A4C-AA96-5FEED410CF11}"/>
  </hyperlinks>
  <pageMargins left="0.7" right="0.7" top="0.75" bottom="0.75" header="0.3" footer="0.3"/>
  <tableParts count="1">
    <tablePart r:id="rId1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Metadata_Table</vt:lpstr>
      <vt:lpstr>paper_metadata_table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Keene-Snickers,Lexi</cp:lastModifiedBy>
  <dcterms:created xsi:type="dcterms:W3CDTF">2024-08-26T16:01:08Z</dcterms:created>
  <dcterms:modified xsi:type="dcterms:W3CDTF">2025-03-19T16:46:30Z</dcterms:modified>
</cp:coreProperties>
</file>